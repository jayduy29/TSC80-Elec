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0800" windowHeight="12900" tabRatio="600" firstSheet="0" activeTab="0" autoFilterDateGrouping="1"/>
  </bookViews>
  <sheets>
    <sheet xmlns:r="http://schemas.openxmlformats.org/officeDocument/2006/relationships" name="Electrical Progress" sheetId="1" state="visible" r:id="rId1"/>
    <sheet xmlns:r="http://schemas.openxmlformats.org/officeDocument/2006/relationships" name="Tiến độ phần điệ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family val="2"/>
      <i val="1"/>
      <color rgb="FF555555"/>
      <sz val="10"/>
    </font>
    <font>
      <name val="Calibri"/>
      <family val="2"/>
      <sz val="9"/>
    </font>
    <font>
      <name val="Calibri"/>
      <family val="2"/>
      <b val="1"/>
      <color rgb="FF1B365D"/>
      <sz val="9"/>
    </font>
    <font>
      <name val="Calibri"/>
      <family val="2"/>
      <b val="1"/>
      <sz val="9"/>
    </font>
    <font>
      <name val="Calibri"/>
      <family val="2"/>
      <b val="1"/>
      <color theme="1"/>
      <sz val="10"/>
    </font>
    <font>
      <name val="Calibri"/>
      <family val="2"/>
      <b val="1"/>
      <color theme="1"/>
      <sz val="15"/>
    </font>
  </fonts>
  <fills count="7">
    <fill>
      <patternFill/>
    </fill>
    <fill>
      <patternFill patternType="gray125"/>
    </fill>
    <fill>
      <patternFill patternType="solid">
        <fgColor rgb="FFEBF1F5"/>
      </patternFill>
    </fill>
    <fill>
      <patternFill patternType="solid">
        <fgColor rgb="FFF4F1EA"/>
      </patternFill>
    </fill>
    <fill>
      <patternFill patternType="solid">
        <fgColor rgb="FFEAF2EC"/>
      </patternFill>
    </fill>
    <fill>
      <patternFill patternType="solid">
        <fgColor rgb="FFD9E2EC"/>
      </patternFill>
    </fill>
    <fill>
      <patternFill patternType="solid">
        <fgColor rgb="FF65C3E1"/>
        <bgColor indexed="64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2" fillId="2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right" vertical="center"/>
    </xf>
    <xf numFmtId="0" fontId="2" fillId="2" borderId="1" pivotButton="0" quotePrefix="0" xfId="0"/>
    <xf numFmtId="0" fontId="3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4" borderId="1" pivotButton="0" quotePrefix="0" xfId="0"/>
    <xf numFmtId="0" fontId="3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0" fontId="4" fillId="5" borderId="1" pivotButton="0" quotePrefix="0" xfId="0"/>
    <xf numFmtId="164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4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C459 ELECTRICAL CUMULATIVE PROGRESS % OVERVIEW (24 WEEKS: W37 - W08)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'Electrical Progress'!$D$26</f>
              <strCache>
                <ptCount val="1"/>
                <pt idx="0">
                  <v>TOTAL PROJECT - Cable Cutting (%)</v>
                </pt>
              </strCache>
            </strRef>
          </tx>
          <spPr>
            <a:ln xmlns:a="http://schemas.openxmlformats.org/drawingml/2006/main" w="25000">
              <a:solidFill>
                <a:srgbClr val="0033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'Electrical Progress'!$F$5:$AC$5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'Electrical Progress'!$F$26:$AC$26</f>
              <numCache>
                <formatCode>0.0%</formatCode>
                <ptCount val="24"/>
                <pt idx="0">
                  <v>0.6601260098416446</v>
                </pt>
                <pt idx="1">
                  <v>0.7615317400702099</v>
                </pt>
                <pt idx="2">
                  <v>0.8309444606257569</v>
                </pt>
                <pt idx="3">
                  <v>0.8477304431805988</v>
                </pt>
                <pt idx="4">
                  <v>0.8519307712354176</v>
                </pt>
                <pt idx="5">
                  <v>0.8645930740576089</v>
                </pt>
                <pt idx="6">
                  <v>0.8987322367513375</v>
                </pt>
                <pt idx="7">
                  <v>0.9163920101788972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1"/>
          <order val="1"/>
          <tx>
            <strRef>
              <f>'Electrical Progress'!$D$28</f>
              <strCache>
                <ptCount val="1"/>
                <pt idx="0">
                  <v>TOTAL PROJECT - Cable Pulling (%)</v>
                </pt>
              </strCache>
            </strRef>
          </tx>
          <spPr>
            <a:ln xmlns:a="http://schemas.openxmlformats.org/drawingml/2006/main" w="25000">
              <a:solidFill>
                <a:srgbClr val="D953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'Electrical Progress'!$F$5:$AC$5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'Electrical Progress'!$F$28:$AC$28</f>
              <numCache>
                <formatCode>0.0%</formatCode>
                <ptCount val="24"/>
                <pt idx="0">
                  <v>0</v>
                </pt>
                <pt idx="1">
                  <v>0.08012815599466527</v>
                </pt>
                <pt idx="2">
                  <v>0.2098171171033066</v>
                </pt>
                <pt idx="3">
                  <v>0.3144420768629375</v>
                </pt>
                <pt idx="4">
                  <v>0.4136403354130578</v>
                </pt>
                <pt idx="5">
                  <v>0.5309582573237471</v>
                </pt>
                <pt idx="6">
                  <v>0.6697836984348413</v>
                </pt>
                <pt idx="7">
                  <v>0.7616697070501127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2"/>
          <order val="2"/>
          <tx>
            <strRef>
              <f>'Electrical Progress'!$D$30</f>
              <strCache>
                <ptCount val="1"/>
                <pt idx="0">
                  <v>TOTAL PROJECT - Termination (%)</v>
                </pt>
              </strCache>
            </strRef>
          </tx>
          <spPr>
            <a:ln xmlns:a="http://schemas.openxmlformats.org/drawingml/2006/main" w="25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'Electrical Progress'!$F$5:$AC$5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'Electrical Progress'!$F$30:$AC$30</f>
              <numCache>
                <formatCode>0.0%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0.01751046821469357</v>
                </pt>
                <pt idx="6">
                  <v>0.04415683288922725</v>
                </pt>
                <pt idx="7">
                  <v>0.1067757898743814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3"/>
          <order val="3"/>
          <tx>
            <strRef>
              <f>'Electrical Progress'!$D$8</f>
              <strCache>
                <ptCount val="1"/>
                <pt idx="0">
                  <v>HDC - Cable Cutting (%)</v>
                </pt>
              </strCache>
            </strRef>
          </tx>
          <spPr>
            <a:ln xmlns:a="http://schemas.openxmlformats.org/drawingml/2006/main" w="18000">
              <a:solidFill>
                <a:srgbClr val="0088F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'Electrical Progress'!$F$5:$AC$5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'Electrical Progress'!$F$8:$AC$8</f>
              <numCache>
                <formatCode>0.0%</formatCode>
                <ptCount val="24"/>
                <pt idx="0">
                  <v>0.6869030701609439</v>
                </pt>
                <pt idx="1">
                  <v>0.6869030701609439</v>
                </pt>
                <pt idx="2">
                  <v>0.8361479229320202</v>
                </pt>
                <pt idx="3">
                  <v>0.871608447073598</v>
                </pt>
                <pt idx="4">
                  <v>0.871608447073598</v>
                </pt>
                <pt idx="5">
                  <v>0.9191314980666909</v>
                </pt>
                <pt idx="6">
                  <v>0.9785187877986715</v>
                </pt>
                <pt idx="7">
                  <v>0.9869460325853465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4"/>
          <order val="4"/>
          <tx>
            <strRef>
              <f>'Electrical Progress'!$D$10</f>
              <strCache>
                <ptCount val="1"/>
                <pt idx="0">
                  <v>HDC - Cable Pulling (%)</v>
                </pt>
              </strCache>
            </strRef>
          </tx>
          <spPr>
            <a:ln xmlns:a="http://schemas.openxmlformats.org/drawingml/2006/main" w="18000">
              <a:solidFill>
                <a:srgbClr val="FF80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'Electrical Progress'!$F$5:$AC$5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'Electrical Progress'!$F$10:$AC$10</f>
              <numCache>
                <formatCode>0.0%</formatCode>
                <ptCount val="24"/>
                <pt idx="0">
                  <v>0</v>
                </pt>
                <pt idx="1">
                  <v>0.1122310717472488</v>
                </pt>
                <pt idx="2">
                  <v>0.2753891404210317</v>
                </pt>
                <pt idx="3">
                  <v>0.376846558048845</v>
                </pt>
                <pt idx="4">
                  <v>0.4437357480419049</v>
                </pt>
                <pt idx="5">
                  <v>0.525199114313097</v>
                </pt>
                <pt idx="6">
                  <v>0.6801943223503751</v>
                </pt>
                <pt idx="7">
                  <v>0.8230939555173667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5"/>
          <order val="5"/>
          <tx>
            <strRef>
              <f>'Electrical Progress'!$D$12</f>
              <strCache>
                <ptCount val="1"/>
                <pt idx="0">
                  <v>HDC - Termination (%)</v>
                </pt>
              </strCache>
            </strRef>
          </tx>
          <spPr>
            <a:ln xmlns:a="http://schemas.openxmlformats.org/drawingml/2006/main" w="18000">
              <a:solidFill>
                <a:srgbClr val="7955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'Electrical Progress'!$F$5:$AC$5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'Electrical Progress'!$F$12:$AC$12</f>
              <numCache>
                <formatCode>0.0%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0.01262063845582777</v>
                </pt>
                <pt idx="6">
                  <v>0.04305864884929473</v>
                </pt>
                <pt idx="7">
                  <v>0.1314031180400891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6"/>
          <order val="6"/>
          <tx>
            <strRef>
              <f>'Electrical Progress'!$D$14</f>
              <strCache>
                <ptCount val="1"/>
                <pt idx="0">
                  <v>NAUTICS - Cable Cutting (%)</v>
                </pt>
              </strCache>
            </strRef>
          </tx>
          <spPr>
            <a:ln xmlns:a="http://schemas.openxmlformats.org/drawingml/2006/main" w="18000">
              <a:solidFill>
                <a:srgbClr val="9C2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'Electrical Progress'!$F$5:$AC$5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'Electrical Progress'!$F$14:$AC$14</f>
              <numCache>
                <formatCode>0.0%</formatCode>
                <ptCount val="24"/>
                <pt idx="0">
                  <v>0.8444334938023578</v>
                </pt>
                <pt idx="1">
                  <v>0.8444334938023578</v>
                </pt>
                <pt idx="2">
                  <v>0.8448883666274971</v>
                </pt>
                <pt idx="3">
                  <v>0.8457223001402524</v>
                </pt>
                <pt idx="4">
                  <v>0.8506500890792615</v>
                </pt>
                <pt idx="5">
                  <v>0.8273378567908722</v>
                </pt>
                <pt idx="6">
                  <v>0.8435995602896024</v>
                </pt>
                <pt idx="7">
                  <v>0.846935294340624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7"/>
          <order val="7"/>
          <tx>
            <strRef>
              <f>'Electrical Progress'!$D$16</f>
              <strCache>
                <ptCount val="1"/>
                <pt idx="0">
                  <v>NAUTICS - Cable Pulling (%)</v>
                </pt>
              </strCache>
            </strRef>
          </tx>
          <spPr>
            <a:ln xmlns:a="http://schemas.openxmlformats.org/drawingml/2006/main" w="18000">
              <a:solidFill>
                <a:srgbClr val="E91E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'Electrical Progress'!$F$5:$AC$5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'Electrical Progress'!$F$16:$AC$16</f>
              <numCache>
                <formatCode>0.0%</formatCode>
                <ptCount val="24"/>
                <pt idx="0">
                  <v>0</v>
                </pt>
                <pt idx="1">
                  <v>0.06940601190250559</v>
                </pt>
                <pt idx="2">
                  <v>0.2029490921496531</v>
                </pt>
                <pt idx="3">
                  <v>0.3452863803494939</v>
                </pt>
                <pt idx="4">
                  <v>0.4437284409233918</v>
                </pt>
                <pt idx="5">
                  <v>0.5830332436223039</v>
                </pt>
                <pt idx="6">
                  <v>0.6953868314317122</v>
                </pt>
                <pt idx="7">
                  <v>0.7224517645275008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8"/>
          <order val="8"/>
          <tx>
            <strRef>
              <f>'Electrical Progress'!$D$18</f>
              <strCache>
                <ptCount val="1"/>
                <pt idx="0">
                  <v>NAUTICS - Termination (%)</v>
                </pt>
              </strCache>
            </strRef>
          </tx>
          <spPr>
            <a:ln xmlns:a="http://schemas.openxmlformats.org/drawingml/2006/main" w="18000">
              <a:solidFill>
                <a:srgbClr val="673AB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'Electrical Progress'!$F$5:$AC$5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'Electrical Progress'!$F$18:$AC$18</f>
              <numCache>
                <formatCode>0.0%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0.02891326021934197</v>
                </pt>
                <pt idx="6">
                  <v>0.05782652043868395</v>
                </pt>
                <pt idx="7">
                  <v>0.1031904287138584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9"/>
          <order val="9"/>
          <tx>
            <strRef>
              <f>'Electrical Progress'!$D$20</f>
              <strCache>
                <ptCount val="1"/>
                <pt idx="0">
                  <v>ST - Cable Cutting (%)</v>
                </pt>
              </strCache>
            </strRef>
          </tx>
          <spPr>
            <a:ln xmlns:a="http://schemas.openxmlformats.org/drawingml/2006/main" w="18000">
              <a:solidFill>
                <a:srgbClr val="00C49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'Electrical Progress'!$F$5:$AC$5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'Electrical Progress'!$F$20:$AC$20</f>
              <numCache>
                <formatCode>0.0%</formatCode>
                <ptCount val="24"/>
                <pt idx="0">
                  <v>0</v>
                </pt>
                <pt idx="1">
                  <v>0.7698126381938787</v>
                </pt>
                <pt idx="2">
                  <v>0.7698126381938787</v>
                </pt>
                <pt idx="3">
                  <v>0.7698126381938787</v>
                </pt>
                <pt idx="4">
                  <v>0.7865704643314325</v>
                </pt>
                <pt idx="5">
                  <v>0.7869195857092983</v>
                </pt>
                <pt idx="6">
                  <v>0.7870359595019202</v>
                </pt>
                <pt idx="7">
                  <v>0.8811823577330385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10"/>
          <order val="10"/>
          <tx>
            <strRef>
              <f>'Electrical Progress'!$D$22</f>
              <strCache>
                <ptCount val="1"/>
                <pt idx="0">
                  <v>ST - Cable Pulling (%)</v>
                </pt>
              </strCache>
            </strRef>
          </tx>
          <spPr>
            <a:ln xmlns:a="http://schemas.openxmlformats.org/drawingml/2006/main" w="18000">
              <a:solidFill>
                <a:srgbClr val="FFBB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'Electrical Progress'!$F$5:$AC$5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'Electrical Progress'!$F$22:$AC$22</f>
              <numCache>
                <formatCode>0.0%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0.2152915163505179</v>
                </pt>
                <pt idx="5">
                  <v>0.3913650645874549</v>
                </pt>
                <pt idx="6">
                  <v>0.5545211218433609</v>
                </pt>
                <pt idx="7">
                  <v>0.6657744675898988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11"/>
          <order val="11"/>
          <tx>
            <strRef>
              <f>'Electrical Progress'!$D$24</f>
              <strCache>
                <ptCount val="1"/>
                <pt idx="0">
                  <v>ST - Termination (%)</v>
                </pt>
              </strCache>
            </strRef>
          </tx>
          <spPr>
            <a:ln xmlns:a="http://schemas.openxmlformats.org/drawingml/2006/main" w="18000">
              <a:solidFill>
                <a:srgbClr val="607D8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'Electrical Progress'!$F$5:$AC$5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'Electrical Progress'!$F$24:$AC$24</f>
              <numCache>
                <formatCode>0.0%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Construction Week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Completion Rate (%)</a:t>
                </a:r>
              </a:p>
            </rich>
          </tx>
          <overlay val="0"/>
        </title>
        <numFmt formatCode="0%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C459 ELECTRICAL CUMULATIVE PROGRESS % OVERVIEW (24 WEEKS: W37 - W08)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'Tiến độ phần điện'!$D$26</f>
              <strCache>
                <ptCount val="1"/>
                <pt idx="0">
                  <v>TỔNG DỰ ÁN - Cắt cáp (%)</v>
                </pt>
              </strCache>
            </strRef>
          </tx>
          <spPr>
            <a:ln xmlns:a="http://schemas.openxmlformats.org/drawingml/2006/main" w="25000">
              <a:solidFill>
                <a:srgbClr val="0033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'Tiến độ phần điện'!$F$5:$AC$5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'Tiến độ phần điện'!$F$26:$AC$26</f>
              <numCache>
                <formatCode>0.0%</formatCode>
                <ptCount val="24"/>
                <pt idx="0">
                  <v>0.6601260098416446</v>
                </pt>
                <pt idx="1">
                  <v>0.7615317400702099</v>
                </pt>
                <pt idx="2">
                  <v>0.8309444606257569</v>
                </pt>
                <pt idx="3">
                  <v>0.8477304431805988</v>
                </pt>
                <pt idx="4">
                  <v>0.8519307712354176</v>
                </pt>
                <pt idx="5">
                  <v>0.8645930740576089</v>
                </pt>
                <pt idx="6">
                  <v>0.8987322367513375</v>
                </pt>
                <pt idx="7">
                  <v>0.9163920101788972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1"/>
          <order val="1"/>
          <tx>
            <strRef>
              <f>'Tiến độ phần điện'!$D$28</f>
              <strCache>
                <ptCount val="1"/>
                <pt idx="0">
                  <v>TỔNG DỰ ÁN - Kéo cáp (%)</v>
                </pt>
              </strCache>
            </strRef>
          </tx>
          <spPr>
            <a:ln xmlns:a="http://schemas.openxmlformats.org/drawingml/2006/main" w="25000">
              <a:solidFill>
                <a:srgbClr val="D953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'Tiến độ phần điện'!$F$5:$AC$5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'Tiến độ phần điện'!$F$28:$AC$28</f>
              <numCache>
                <formatCode>0.0%</formatCode>
                <ptCount val="24"/>
                <pt idx="0">
                  <v>0</v>
                </pt>
                <pt idx="1">
                  <v>0.08012815599466527</v>
                </pt>
                <pt idx="2">
                  <v>0.2098171171033066</v>
                </pt>
                <pt idx="3">
                  <v>0.3144420768629375</v>
                </pt>
                <pt idx="4">
                  <v>0.4136403354130578</v>
                </pt>
                <pt idx="5">
                  <v>0.5309582573237471</v>
                </pt>
                <pt idx="6">
                  <v>0.6697836984348413</v>
                </pt>
                <pt idx="7">
                  <v>0.7616697070501127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2"/>
          <order val="2"/>
          <tx>
            <strRef>
              <f>'Tiến độ phần điện'!$D$30</f>
              <strCache>
                <ptCount val="1"/>
                <pt idx="0">
                  <v>TỔNG DỰ ÁN - Đấu nối (%)</v>
                </pt>
              </strCache>
            </strRef>
          </tx>
          <spPr>
            <a:ln xmlns:a="http://schemas.openxmlformats.org/drawingml/2006/main" w="25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'Tiến độ phần điện'!$F$5:$AC$5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'Tiến độ phần điện'!$F$30:$AC$30</f>
              <numCache>
                <formatCode>0.0%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0.01751046821469357</v>
                </pt>
                <pt idx="6">
                  <v>0.04415683288922725</v>
                </pt>
                <pt idx="7">
                  <v>0.1067757898743814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3"/>
          <order val="3"/>
          <tx>
            <strRef>
              <f>'Tiến độ phần điện'!$D$8</f>
              <strCache>
                <ptCount val="1"/>
                <pt idx="0">
                  <v>HDC - Cắt cáp (%)</v>
                </pt>
              </strCache>
            </strRef>
          </tx>
          <spPr>
            <a:ln xmlns:a="http://schemas.openxmlformats.org/drawingml/2006/main" w="18000">
              <a:solidFill>
                <a:srgbClr val="0088F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'Tiến độ phần điện'!$F$5:$AC$5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'Tiến độ phần điện'!$F$8:$AC$8</f>
              <numCache>
                <formatCode>0.0%</formatCode>
                <ptCount val="24"/>
                <pt idx="0">
                  <v>0.6869030701609439</v>
                </pt>
                <pt idx="1">
                  <v>0.6869030701609439</v>
                </pt>
                <pt idx="2">
                  <v>0.8361479229320202</v>
                </pt>
                <pt idx="3">
                  <v>0.871608447073598</v>
                </pt>
                <pt idx="4">
                  <v>0.871608447073598</v>
                </pt>
                <pt idx="5">
                  <v>0.9191314980666909</v>
                </pt>
                <pt idx="6">
                  <v>0.9785187877986715</v>
                </pt>
                <pt idx="7">
                  <v>0.9869460325853465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4"/>
          <order val="4"/>
          <tx>
            <strRef>
              <f>'Tiến độ phần điện'!$D$10</f>
              <strCache>
                <ptCount val="1"/>
                <pt idx="0">
                  <v>HDC - Kéo cáp (%)</v>
                </pt>
              </strCache>
            </strRef>
          </tx>
          <spPr>
            <a:ln xmlns:a="http://schemas.openxmlformats.org/drawingml/2006/main" w="18000">
              <a:solidFill>
                <a:srgbClr val="FF80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'Tiến độ phần điện'!$F$5:$AC$5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'Tiến độ phần điện'!$F$10:$AC$10</f>
              <numCache>
                <formatCode>0.0%</formatCode>
                <ptCount val="24"/>
                <pt idx="0">
                  <v>0</v>
                </pt>
                <pt idx="1">
                  <v>0.1122310717472488</v>
                </pt>
                <pt idx="2">
                  <v>0.2753891404210317</v>
                </pt>
                <pt idx="3">
                  <v>0.376846558048845</v>
                </pt>
                <pt idx="4">
                  <v>0.4437357480419049</v>
                </pt>
                <pt idx="5">
                  <v>0.525199114313097</v>
                </pt>
                <pt idx="6">
                  <v>0.6801943223503751</v>
                </pt>
                <pt idx="7">
                  <v>0.8230939555173667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5"/>
          <order val="5"/>
          <tx>
            <strRef>
              <f>'Tiến độ phần điện'!$D$12</f>
              <strCache>
                <ptCount val="1"/>
                <pt idx="0">
                  <v>HDC - Đấu nối (%)</v>
                </pt>
              </strCache>
            </strRef>
          </tx>
          <spPr>
            <a:ln xmlns:a="http://schemas.openxmlformats.org/drawingml/2006/main" w="18000">
              <a:solidFill>
                <a:srgbClr val="7955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'Tiến độ phần điện'!$F$5:$AC$5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'Tiến độ phần điện'!$F$12:$AC$12</f>
              <numCache>
                <formatCode>0.0%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0.01262063845582777</v>
                </pt>
                <pt idx="6">
                  <v>0.04305864884929473</v>
                </pt>
                <pt idx="7">
                  <v>0.1314031180400891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6"/>
          <order val="6"/>
          <tx>
            <strRef>
              <f>'Tiến độ phần điện'!$D$14</f>
              <strCache>
                <ptCount val="1"/>
                <pt idx="0">
                  <v>NAUTICS - Cắt cáp (%)</v>
                </pt>
              </strCache>
            </strRef>
          </tx>
          <spPr>
            <a:ln xmlns:a="http://schemas.openxmlformats.org/drawingml/2006/main" w="18000">
              <a:solidFill>
                <a:srgbClr val="9C2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'Tiến độ phần điện'!$F$5:$AC$5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'Tiến độ phần điện'!$F$14:$AC$14</f>
              <numCache>
                <formatCode>0.0%</formatCode>
                <ptCount val="24"/>
                <pt idx="0">
                  <v>0.8444334938023578</v>
                </pt>
                <pt idx="1">
                  <v>0.8444334938023578</v>
                </pt>
                <pt idx="2">
                  <v>0.8448883666274971</v>
                </pt>
                <pt idx="3">
                  <v>0.8457223001402524</v>
                </pt>
                <pt idx="4">
                  <v>0.8506500890792615</v>
                </pt>
                <pt idx="5">
                  <v>0.8273378567908722</v>
                </pt>
                <pt idx="6">
                  <v>0.8435995602896024</v>
                </pt>
                <pt idx="7">
                  <v>0.846935294340624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7"/>
          <order val="7"/>
          <tx>
            <strRef>
              <f>'Tiến độ phần điện'!$D$16</f>
              <strCache>
                <ptCount val="1"/>
                <pt idx="0">
                  <v>NAUTICS - Kéo cáp (%)</v>
                </pt>
              </strCache>
            </strRef>
          </tx>
          <spPr>
            <a:ln xmlns:a="http://schemas.openxmlformats.org/drawingml/2006/main" w="18000">
              <a:solidFill>
                <a:srgbClr val="E91E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'Tiến độ phần điện'!$F$5:$AC$5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'Tiến độ phần điện'!$F$16:$AC$16</f>
              <numCache>
                <formatCode>0.0%</formatCode>
                <ptCount val="24"/>
                <pt idx="0">
                  <v>0</v>
                </pt>
                <pt idx="1">
                  <v>0.06940601190250559</v>
                </pt>
                <pt idx="2">
                  <v>0.2029490921496531</v>
                </pt>
                <pt idx="3">
                  <v>0.3452863803494939</v>
                </pt>
                <pt idx="4">
                  <v>0.4437284409233918</v>
                </pt>
                <pt idx="5">
                  <v>0.5830332436223039</v>
                </pt>
                <pt idx="6">
                  <v>0.6953868314317122</v>
                </pt>
                <pt idx="7">
                  <v>0.7224517645275008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8"/>
          <order val="8"/>
          <tx>
            <strRef>
              <f>'Tiến độ phần điện'!$D$18</f>
              <strCache>
                <ptCount val="1"/>
                <pt idx="0">
                  <v>NAUTICS - Đấu nối (%)</v>
                </pt>
              </strCache>
            </strRef>
          </tx>
          <spPr>
            <a:ln xmlns:a="http://schemas.openxmlformats.org/drawingml/2006/main" w="18000">
              <a:solidFill>
                <a:srgbClr val="673AB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'Tiến độ phần điện'!$F$5:$AC$5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'Tiến độ phần điện'!$F$18:$AC$18</f>
              <numCache>
                <formatCode>0.0%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0.02891326021934197</v>
                </pt>
                <pt idx="6">
                  <v>0.05782652043868395</v>
                </pt>
                <pt idx="7">
                  <v>0.1031904287138584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9"/>
          <order val="9"/>
          <tx>
            <strRef>
              <f>'Tiến độ phần điện'!$D$20</f>
              <strCache>
                <ptCount val="1"/>
                <pt idx="0">
                  <v>ST - Cắt cáp (%)</v>
                </pt>
              </strCache>
            </strRef>
          </tx>
          <spPr>
            <a:ln xmlns:a="http://schemas.openxmlformats.org/drawingml/2006/main" w="18000">
              <a:solidFill>
                <a:srgbClr val="00C49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'Tiến độ phần điện'!$F$5:$AC$5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'Tiến độ phần điện'!$F$20:$AC$20</f>
              <numCache>
                <formatCode>0.0%</formatCode>
                <ptCount val="24"/>
                <pt idx="0">
                  <v>0</v>
                </pt>
                <pt idx="1">
                  <v>0.7698126381938787</v>
                </pt>
                <pt idx="2">
                  <v>0.7698126381938787</v>
                </pt>
                <pt idx="3">
                  <v>0.7698126381938787</v>
                </pt>
                <pt idx="4">
                  <v>0.7865704643314325</v>
                </pt>
                <pt idx="5">
                  <v>0.7869195857092983</v>
                </pt>
                <pt idx="6">
                  <v>0.7870359595019202</v>
                </pt>
                <pt idx="7">
                  <v>0.8811823577330385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10"/>
          <order val="10"/>
          <tx>
            <strRef>
              <f>'Tiến độ phần điện'!$D$22</f>
              <strCache>
                <ptCount val="1"/>
                <pt idx="0">
                  <v>ST - Kéo cáp (%)</v>
                </pt>
              </strCache>
            </strRef>
          </tx>
          <spPr>
            <a:ln xmlns:a="http://schemas.openxmlformats.org/drawingml/2006/main" w="18000">
              <a:solidFill>
                <a:srgbClr val="FFBB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'Tiến độ phần điện'!$F$5:$AC$5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'Tiến độ phần điện'!$F$22:$AC$22</f>
              <numCache>
                <formatCode>0.0%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0.2152915163505179</v>
                </pt>
                <pt idx="5">
                  <v>0.3913650645874549</v>
                </pt>
                <pt idx="6">
                  <v>0.5545211218433609</v>
                </pt>
                <pt idx="7">
                  <v>0.6657744675898988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ser>
          <idx val="11"/>
          <order val="11"/>
          <tx>
            <strRef>
              <f>'Tiến độ phần điện'!$D$24</f>
              <strCache>
                <ptCount val="1"/>
                <pt idx="0">
                  <v>ST - Đấu nối (%)</v>
                </pt>
              </strCache>
            </strRef>
          </tx>
          <spPr>
            <a:ln xmlns:a="http://schemas.openxmlformats.org/drawingml/2006/main" w="18000">
              <a:solidFill>
                <a:srgbClr val="607D8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'Tiến độ phần điện'!$F$5:$AC$5</f>
              <strCache>
                <ptCount val="24"/>
                <pt idx="0">
                  <v>W37</v>
                </pt>
                <pt idx="1">
                  <v>W38</v>
                </pt>
                <pt idx="2">
                  <v>W39</v>
                </pt>
                <pt idx="3">
                  <v>W40</v>
                </pt>
                <pt idx="4">
                  <v>W41</v>
                </pt>
                <pt idx="5">
                  <v>W42</v>
                </pt>
                <pt idx="6">
                  <v>W43</v>
                </pt>
                <pt idx="7">
                  <v>W44</v>
                </pt>
                <pt idx="8">
                  <v>W45</v>
                </pt>
                <pt idx="9">
                  <v>W46</v>
                </pt>
                <pt idx="10">
                  <v>W47</v>
                </pt>
                <pt idx="11">
                  <v>W48</v>
                </pt>
                <pt idx="12">
                  <v>W49</v>
                </pt>
                <pt idx="13">
                  <v>W50</v>
                </pt>
                <pt idx="14">
                  <v>W51</v>
                </pt>
                <pt idx="15">
                  <v>W52</v>
                </pt>
                <pt idx="16">
                  <v>W01</v>
                </pt>
                <pt idx="17">
                  <v>W02</v>
                </pt>
                <pt idx="18">
                  <v>W03</v>
                </pt>
                <pt idx="19">
                  <v>W04</v>
                </pt>
                <pt idx="20">
                  <v>W05</v>
                </pt>
                <pt idx="21">
                  <v>W06</v>
                </pt>
                <pt idx="22">
                  <v>W07</v>
                </pt>
                <pt idx="23">
                  <v>W08</v>
                </pt>
              </strCache>
            </strRef>
          </cat>
          <val>
            <numRef>
              <f>'Tiến độ phần điện'!$F$24:$AC$24</f>
              <numCache>
                <formatCode>0.0%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Construction Week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Completion Rate (%)</a:t>
                </a:r>
              </a:p>
            </rich>
          </tx>
          <overlay val="0"/>
        </title>
        <numFmt formatCode="0%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32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32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tabSelected="1" topLeftCell="G13" zoomScale="85" zoomScaleNormal="85" workbookViewId="0">
      <selection activeCell="M30" sqref="M30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26.28515625" bestFit="1" customWidth="1" min="4" max="4"/>
    <col width="8.5703125" bestFit="1" customWidth="1" min="5" max="5"/>
    <col width="12" customWidth="1" min="6" max="29"/>
  </cols>
  <sheetData>
    <row r="1">
      <c r="A1" s="26" t="inlineStr">
        <is>
          <t>C459 ELECTRICAL SYSTEM CONSTRUCTION PROGRESS REPORT - 24 WEEKS (W37 - W08)</t>
        </is>
      </c>
    </row>
    <row r="2"/>
    <row r="3">
      <c r="A3" s="1" t="inlineStr">
        <is>
          <t>Weekly Executed Quantity &amp; Progress % for 3 Contractors (HDC, NAUTICS, ST) and Total Project</t>
        </is>
      </c>
    </row>
    <row r="5">
      <c r="A5" s="25" t="inlineStr">
        <is>
          <t>Contractor</t>
        </is>
      </c>
      <c r="B5" s="25" t="inlineStr">
        <is>
          <t>Work Item</t>
        </is>
      </c>
      <c r="C5" s="25" t="inlineStr">
        <is>
          <t>Unit</t>
        </is>
      </c>
      <c r="D5" s="25" t="inlineStr">
        <is>
          <t>Indicator</t>
        </is>
      </c>
      <c r="E5" s="25" t="inlineStr">
        <is>
          <t>Total Plan</t>
        </is>
      </c>
      <c r="F5" s="25" t="inlineStr">
        <is>
          <t>W37</t>
        </is>
      </c>
      <c r="G5" s="25" t="inlineStr">
        <is>
          <t>W38</t>
        </is>
      </c>
      <c r="H5" s="25" t="inlineStr">
        <is>
          <t>W39</t>
        </is>
      </c>
      <c r="I5" s="25" t="inlineStr">
        <is>
          <t>W40</t>
        </is>
      </c>
      <c r="J5" s="25" t="inlineStr">
        <is>
          <t>W41</t>
        </is>
      </c>
      <c r="K5" s="25" t="inlineStr">
        <is>
          <t>W42</t>
        </is>
      </c>
      <c r="L5" s="25" t="inlineStr">
        <is>
          <t>W43</t>
        </is>
      </c>
      <c r="M5" s="25" t="inlineStr">
        <is>
          <t>W44</t>
        </is>
      </c>
      <c r="N5" s="25" t="inlineStr">
        <is>
          <t>W45</t>
        </is>
      </c>
      <c r="O5" s="25" t="inlineStr">
        <is>
          <t>W46</t>
        </is>
      </c>
      <c r="P5" s="25" t="inlineStr">
        <is>
          <t>W47</t>
        </is>
      </c>
      <c r="Q5" s="25" t="inlineStr">
        <is>
          <t>W48</t>
        </is>
      </c>
      <c r="R5" s="25" t="inlineStr">
        <is>
          <t>W49</t>
        </is>
      </c>
      <c r="S5" s="25" t="inlineStr">
        <is>
          <t>W50</t>
        </is>
      </c>
      <c r="T5" s="25" t="inlineStr">
        <is>
          <t>W51</t>
        </is>
      </c>
      <c r="U5" s="25" t="inlineStr">
        <is>
          <t>W52</t>
        </is>
      </c>
      <c r="V5" s="25" t="inlineStr">
        <is>
          <t>W01</t>
        </is>
      </c>
      <c r="W5" s="25" t="inlineStr">
        <is>
          <t>W02</t>
        </is>
      </c>
      <c r="X5" s="25" t="inlineStr">
        <is>
          <t>W03</t>
        </is>
      </c>
      <c r="Y5" s="25" t="inlineStr">
        <is>
          <t>W04</t>
        </is>
      </c>
      <c r="Z5" s="25" t="inlineStr">
        <is>
          <t>W05</t>
        </is>
      </c>
      <c r="AA5" s="25" t="inlineStr">
        <is>
          <t>W06</t>
        </is>
      </c>
      <c r="AB5" s="25" t="inlineStr">
        <is>
          <t>W07</t>
        </is>
      </c>
      <c r="AC5" s="25" t="inlineStr">
        <is>
          <t>W08</t>
        </is>
      </c>
      <c r="AD5" s="25" t="inlineStr">
        <is>
          <t>Remarks</t>
        </is>
      </c>
    </row>
    <row r="6" ht="25.5" customHeight="1">
      <c r="A6" s="29" t="n"/>
      <c r="B6" s="29" t="n"/>
      <c r="C6" s="29" t="n"/>
      <c r="D6" s="29" t="n"/>
      <c r="E6" s="29" t="n"/>
      <c r="F6" s="25" t="inlineStr">
        <is>
          <t>Qty / Cumulative %</t>
        </is>
      </c>
      <c r="G6" s="25" t="inlineStr">
        <is>
          <t>Qty / Cumulative %</t>
        </is>
      </c>
      <c r="H6" s="25" t="inlineStr">
        <is>
          <t>Qty / Cumulative %</t>
        </is>
      </c>
      <c r="I6" s="25" t="inlineStr">
        <is>
          <t>Qty / Cumulative %</t>
        </is>
      </c>
      <c r="J6" s="25" t="inlineStr">
        <is>
          <t>Qty / Cumulative %</t>
        </is>
      </c>
      <c r="K6" s="25" t="inlineStr">
        <is>
          <t>Qty / Cumulative %</t>
        </is>
      </c>
      <c r="L6" s="25" t="inlineStr">
        <is>
          <t>Qty / Cumulative %</t>
        </is>
      </c>
      <c r="M6" s="25" t="inlineStr">
        <is>
          <t>Qty / Cumulative %</t>
        </is>
      </c>
      <c r="N6" s="25" t="inlineStr">
        <is>
          <t>Qty / Cumulative %</t>
        </is>
      </c>
      <c r="O6" s="25" t="inlineStr">
        <is>
          <t>Qty / Cumulative %</t>
        </is>
      </c>
      <c r="P6" s="25" t="inlineStr">
        <is>
          <t>Qty / Cumulative %</t>
        </is>
      </c>
      <c r="Q6" s="25" t="inlineStr">
        <is>
          <t>Qty / Cumulative %</t>
        </is>
      </c>
      <c r="R6" s="25" t="inlineStr">
        <is>
          <t>Qty / Cumulative %</t>
        </is>
      </c>
      <c r="S6" s="25" t="inlineStr">
        <is>
          <t>Qty / Cumulative %</t>
        </is>
      </c>
      <c r="T6" s="25" t="inlineStr">
        <is>
          <t>Qty / Cumulative %</t>
        </is>
      </c>
      <c r="U6" s="25" t="inlineStr">
        <is>
          <t>Qty / Cumulative %</t>
        </is>
      </c>
      <c r="V6" s="25" t="inlineStr">
        <is>
          <t>Qty / Cumulative %</t>
        </is>
      </c>
      <c r="W6" s="25" t="inlineStr">
        <is>
          <t>Qty / Cumulative %</t>
        </is>
      </c>
      <c r="X6" s="25" t="inlineStr">
        <is>
          <t>Qty / Cumulative %</t>
        </is>
      </c>
      <c r="Y6" s="25" t="inlineStr">
        <is>
          <t>Qty / Cumulative %</t>
        </is>
      </c>
      <c r="Z6" s="25" t="inlineStr">
        <is>
          <t>Qty / Cumulative %</t>
        </is>
      </c>
      <c r="AA6" s="25" t="inlineStr">
        <is>
          <t>Qty / Cumulative %</t>
        </is>
      </c>
      <c r="AB6" s="25" t="inlineStr">
        <is>
          <t>Qty / Cumulative %</t>
        </is>
      </c>
      <c r="AC6" s="25" t="inlineStr">
        <is>
          <t>Qty / Cumulative %</t>
        </is>
      </c>
      <c r="AD6" s="29" t="n"/>
    </row>
    <row r="7">
      <c r="A7" s="32" t="inlineStr">
        <is>
          <t>HDC</t>
        </is>
      </c>
      <c r="B7" s="28" t="inlineStr">
        <is>
          <t>Cable Cutting</t>
        </is>
      </c>
      <c r="C7" s="32" t="inlineStr">
        <is>
          <t>m</t>
        </is>
      </c>
      <c r="D7" s="32" t="inlineStr">
        <is>
          <t>Cumulative Qty</t>
        </is>
      </c>
      <c r="E7" s="3" t="n">
        <v>30259</v>
      </c>
      <c r="F7" s="3" t="n">
        <v>20785</v>
      </c>
      <c r="G7" s="3" t="n">
        <v>20785</v>
      </c>
      <c r="H7" s="3" t="n">
        <v>25301</v>
      </c>
      <c r="I7" s="3" t="n">
        <v>26374</v>
      </c>
      <c r="J7" s="4" t="n">
        <v>26374</v>
      </c>
      <c r="K7" s="4" t="n">
        <v>27812</v>
      </c>
      <c r="L7" s="4" t="n">
        <v>29609</v>
      </c>
      <c r="M7" s="4" t="n">
        <v>29864</v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5" t="n"/>
    </row>
    <row r="8">
      <c r="A8" s="33" t="n"/>
      <c r="B8" s="29" t="n"/>
      <c r="C8" s="29" t="n"/>
      <c r="D8" s="6" t="inlineStr">
        <is>
          <t>HDC - Cable Cutting (%)</t>
        </is>
      </c>
      <c r="E8" s="7" t="n">
        <v>1</v>
      </c>
      <c r="F8" s="7">
        <f>F7/$E$7</f>
        <v/>
      </c>
      <c r="G8" s="7">
        <f>G7/$E$7</f>
        <v/>
      </c>
      <c r="H8" s="7">
        <f>H7/$E$7</f>
        <v/>
      </c>
      <c r="I8" s="7">
        <f>I7/$E$7</f>
        <v/>
      </c>
      <c r="J8" s="7">
        <f>IF(OR(J7="", ISBLANK(J7)), NA(), J7/$E$7)</f>
        <v/>
      </c>
      <c r="K8" s="7">
        <f>IF(OR(K7="", ISBLANK(K7)), NA(), K7/$E$7)</f>
        <v/>
      </c>
      <c r="L8" s="7">
        <f>IF(OR(L7="", ISBLANK(L7)), NA(), L7/$E$7)</f>
        <v/>
      </c>
      <c r="M8" s="7">
        <f>IF(OR(M7="", ISBLANK(M7)), NA(), M7/$E$7)</f>
        <v/>
      </c>
      <c r="N8" s="7">
        <f>IF(OR(N7="", ISBLANK(N7)), NA(), N7/$E$7)</f>
        <v/>
      </c>
      <c r="O8" s="7">
        <f>IF(OR(O7="", ISBLANK(O7)), NA(), O7/$E$7)</f>
        <v/>
      </c>
      <c r="P8" s="7">
        <f>IF(OR(P7="", ISBLANK(P7)), NA(), P7/$E$7)</f>
        <v/>
      </c>
      <c r="Q8" s="7">
        <f>IF(OR(Q7="", ISBLANK(Q7)), NA(), Q7/$E$7)</f>
        <v/>
      </c>
      <c r="R8" s="7">
        <f>IF(OR(R7="", ISBLANK(R7)), NA(), R7/$E$7)</f>
        <v/>
      </c>
      <c r="S8" s="7">
        <f>IF(OR(S7="", ISBLANK(S7)), NA(), S7/$E$7)</f>
        <v/>
      </c>
      <c r="T8" s="7">
        <f>IF(OR(T7="", ISBLANK(T7)), NA(), T7/$E$7)</f>
        <v/>
      </c>
      <c r="U8" s="7">
        <f>IF(OR(U7="", ISBLANK(U7)), NA(), U7/$E$7)</f>
        <v/>
      </c>
      <c r="V8" s="7">
        <f>IF(OR(V7="", ISBLANK(V7)), NA(), V7/$E$7)</f>
        <v/>
      </c>
      <c r="W8" s="7">
        <f>IF(OR(W7="", ISBLANK(W7)), NA(), W7/$E$7)</f>
        <v/>
      </c>
      <c r="X8" s="7">
        <f>IF(OR(X7="", ISBLANK(X7)), NA(), X7/$E$7)</f>
        <v/>
      </c>
      <c r="Y8" s="7">
        <f>IF(OR(Y7="", ISBLANK(Y7)), NA(), Y7/$E$7)</f>
        <v/>
      </c>
      <c r="Z8" s="7">
        <f>IF(OR(Z7="", ISBLANK(Z7)), NA(), Z7/$E$7)</f>
        <v/>
      </c>
      <c r="AA8" s="7">
        <f>IF(OR(AA7="", ISBLANK(AA7)), NA(), AA7/$E$7)</f>
        <v/>
      </c>
      <c r="AB8" s="7">
        <f>IF(OR(AB7="", ISBLANK(AB7)), NA(), AB7/$E$7)</f>
        <v/>
      </c>
      <c r="AC8" s="7">
        <f>IF(OR(AC7="", ISBLANK(AC7)), NA(), AC7/$E$7)</f>
        <v/>
      </c>
      <c r="AD8" s="5" t="n"/>
    </row>
    <row r="9">
      <c r="A9" s="33" t="n"/>
      <c r="B9" s="28" t="inlineStr">
        <is>
          <t>Cable Pulling</t>
        </is>
      </c>
      <c r="C9" s="32" t="inlineStr">
        <is>
          <t>m</t>
        </is>
      </c>
      <c r="D9" s="32" t="inlineStr">
        <is>
          <t>Cumulative Qty</t>
        </is>
      </c>
      <c r="E9" s="3" t="n">
        <v>30259</v>
      </c>
      <c r="F9" s="3" t="n">
        <v>0</v>
      </c>
      <c r="G9" s="3" t="n">
        <v>3396</v>
      </c>
      <c r="H9" s="3" t="n">
        <v>8333</v>
      </c>
      <c r="I9" s="3" t="n">
        <v>11403</v>
      </c>
      <c r="J9" s="4" t="n">
        <v>13427</v>
      </c>
      <c r="K9" s="4" t="n">
        <v>15892</v>
      </c>
      <c r="L9" s="4" t="n">
        <v>20582</v>
      </c>
      <c r="M9" s="4" t="n">
        <v>24906</v>
      </c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5" t="n"/>
    </row>
    <row r="10">
      <c r="A10" s="33" t="n"/>
      <c r="B10" s="29" t="n"/>
      <c r="C10" s="29" t="n"/>
      <c r="D10" s="6" t="inlineStr">
        <is>
          <t>HDC - Cable Pulling (%)</t>
        </is>
      </c>
      <c r="E10" s="7" t="n">
        <v>1</v>
      </c>
      <c r="F10" s="7">
        <f>F9/$E$9</f>
        <v/>
      </c>
      <c r="G10" s="7">
        <f>G9/$E$9</f>
        <v/>
      </c>
      <c r="H10" s="7">
        <f>H9/$E$9</f>
        <v/>
      </c>
      <c r="I10" s="7">
        <f>I9/$E$9</f>
        <v/>
      </c>
      <c r="J10" s="7">
        <f>IF(OR(J9="", ISBLANK(J9)), NA(), J9/$E$9)</f>
        <v/>
      </c>
      <c r="K10" s="7">
        <f>IF(OR(K9="", ISBLANK(K9)), NA(), K9/$E$9)</f>
        <v/>
      </c>
      <c r="L10" s="7">
        <f>IF(OR(L9="", ISBLANK(L9)), NA(), L9/$E$9)</f>
        <v/>
      </c>
      <c r="M10" s="7">
        <f>IF(OR(M9="", ISBLANK(M9)), NA(), M9/$E$9)</f>
        <v/>
      </c>
      <c r="N10" s="7">
        <f>IF(OR(N9="", ISBLANK(N9)), NA(), N9/$E$9)</f>
        <v/>
      </c>
      <c r="O10" s="7">
        <f>IF(OR(O9="", ISBLANK(O9)), NA(), O9/$E$9)</f>
        <v/>
      </c>
      <c r="P10" s="7">
        <f>IF(OR(P9="", ISBLANK(P9)), NA(), P9/$E$9)</f>
        <v/>
      </c>
      <c r="Q10" s="7">
        <f>IF(OR(Q9="", ISBLANK(Q9)), NA(), Q9/$E$9)</f>
        <v/>
      </c>
      <c r="R10" s="7">
        <f>IF(OR(R9="", ISBLANK(R9)), NA(), R9/$E$9)</f>
        <v/>
      </c>
      <c r="S10" s="7">
        <f>IF(OR(S9="", ISBLANK(S9)), NA(), S9/$E$9)</f>
        <v/>
      </c>
      <c r="T10" s="7">
        <f>IF(OR(T9="", ISBLANK(T9)), NA(), T9/$E$9)</f>
        <v/>
      </c>
      <c r="U10" s="7">
        <f>IF(OR(U9="", ISBLANK(U9)), NA(), U9/$E$9)</f>
        <v/>
      </c>
      <c r="V10" s="7">
        <f>IF(OR(V9="", ISBLANK(V9)), NA(), V9/$E$9)</f>
        <v/>
      </c>
      <c r="W10" s="7">
        <f>IF(OR(W9="", ISBLANK(W9)), NA(), W9/$E$9)</f>
        <v/>
      </c>
      <c r="X10" s="7">
        <f>IF(OR(X9="", ISBLANK(X9)), NA(), X9/$E$9)</f>
        <v/>
      </c>
      <c r="Y10" s="7">
        <f>IF(OR(Y9="", ISBLANK(Y9)), NA(), Y9/$E$9)</f>
        <v/>
      </c>
      <c r="Z10" s="7">
        <f>IF(OR(Z9="", ISBLANK(Z9)), NA(), Z9/$E$9)</f>
        <v/>
      </c>
      <c r="AA10" s="7">
        <f>IF(OR(AA9="", ISBLANK(AA9)), NA(), AA9/$E$9)</f>
        <v/>
      </c>
      <c r="AB10" s="7">
        <f>IF(OR(AB9="", ISBLANK(AB9)), NA(), AB9/$E$9)</f>
        <v/>
      </c>
      <c r="AC10" s="7">
        <f>IF(OR(AC9="", ISBLANK(AC9)), NA(), AC9/$E$9)</f>
        <v/>
      </c>
      <c r="AD10" s="5" t="n"/>
    </row>
    <row r="11">
      <c r="A11" s="33" t="n"/>
      <c r="B11" s="28" t="inlineStr">
        <is>
          <t>Termination</t>
        </is>
      </c>
      <c r="C11" s="32" t="inlineStr">
        <is>
          <t>pts</t>
        </is>
      </c>
      <c r="D11" s="32" t="inlineStr">
        <is>
          <t>Cumulative Qty</t>
        </is>
      </c>
      <c r="E11" s="3" t="n">
        <v>2694</v>
      </c>
      <c r="F11" s="3" t="n">
        <v>0</v>
      </c>
      <c r="G11" s="3" t="n">
        <v>0</v>
      </c>
      <c r="H11" s="3" t="n">
        <v>0</v>
      </c>
      <c r="I11" s="3" t="n">
        <v>0</v>
      </c>
      <c r="J11" s="4" t="n">
        <v>0</v>
      </c>
      <c r="K11" s="4" t="n">
        <v>34</v>
      </c>
      <c r="L11" s="4" t="n">
        <v>116</v>
      </c>
      <c r="M11" s="4" t="n">
        <v>354</v>
      </c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5" t="n"/>
    </row>
    <row r="12">
      <c r="A12" s="29" t="n"/>
      <c r="B12" s="29" t="n"/>
      <c r="C12" s="29" t="n"/>
      <c r="D12" s="6" t="inlineStr">
        <is>
          <t>HDC - Termination (%)</t>
        </is>
      </c>
      <c r="E12" s="7" t="n">
        <v>1</v>
      </c>
      <c r="F12" s="7">
        <f>F11/$E$11</f>
        <v/>
      </c>
      <c r="G12" s="7">
        <f>G11/$E$11</f>
        <v/>
      </c>
      <c r="H12" s="7">
        <f>H11/$E$11</f>
        <v/>
      </c>
      <c r="I12" s="7">
        <f>I11/$E$11</f>
        <v/>
      </c>
      <c r="J12" s="7">
        <f>IF(OR(J11="", ISBLANK(J11)), NA(), J11/$E$11)</f>
        <v/>
      </c>
      <c r="K12" s="7">
        <f>IF(OR(K11="", ISBLANK(K11)), NA(), K11/$E$11)</f>
        <v/>
      </c>
      <c r="L12" s="7">
        <f>IF(OR(L11="", ISBLANK(L11)), NA(), L11/$E$11)</f>
        <v/>
      </c>
      <c r="M12" s="7">
        <f>IF(OR(M11="", ISBLANK(M11)), NA(), M11/$E$11)</f>
        <v/>
      </c>
      <c r="N12" s="7">
        <f>IF(OR(N11="", ISBLANK(N11)), NA(), N11/$E$11)</f>
        <v/>
      </c>
      <c r="O12" s="7">
        <f>IF(OR(O11="", ISBLANK(O11)), NA(), O11/$E$11)</f>
        <v/>
      </c>
      <c r="P12" s="7">
        <f>IF(OR(P11="", ISBLANK(P11)), NA(), P11/$E$11)</f>
        <v/>
      </c>
      <c r="Q12" s="7">
        <f>IF(OR(Q11="", ISBLANK(Q11)), NA(), Q11/$E$11)</f>
        <v/>
      </c>
      <c r="R12" s="7">
        <f>IF(OR(R11="", ISBLANK(R11)), NA(), R11/$E$11)</f>
        <v/>
      </c>
      <c r="S12" s="7">
        <f>IF(OR(S11="", ISBLANK(S11)), NA(), S11/$E$11)</f>
        <v/>
      </c>
      <c r="T12" s="7">
        <f>IF(OR(T11="", ISBLANK(T11)), NA(), T11/$E$11)</f>
        <v/>
      </c>
      <c r="U12" s="7">
        <f>IF(OR(U11="", ISBLANK(U11)), NA(), U11/$E$11)</f>
        <v/>
      </c>
      <c r="V12" s="7">
        <f>IF(OR(V11="", ISBLANK(V11)), NA(), V11/$E$11)</f>
        <v/>
      </c>
      <c r="W12" s="7">
        <f>IF(OR(W11="", ISBLANK(W11)), NA(), W11/$E$11)</f>
        <v/>
      </c>
      <c r="X12" s="7">
        <f>IF(OR(X11="", ISBLANK(X11)), NA(), X11/$E$11)</f>
        <v/>
      </c>
      <c r="Y12" s="7">
        <f>IF(OR(Y11="", ISBLANK(Y11)), NA(), Y11/$E$11)</f>
        <v/>
      </c>
      <c r="Z12" s="7">
        <f>IF(OR(Z11="", ISBLANK(Z11)), NA(), Z11/$E$11)</f>
        <v/>
      </c>
      <c r="AA12" s="7">
        <f>IF(OR(AA11="", ISBLANK(AA11)), NA(), AA11/$E$11)</f>
        <v/>
      </c>
      <c r="AB12" s="7">
        <f>IF(OR(AB11="", ISBLANK(AB11)), NA(), AB11/$E$11)</f>
        <v/>
      </c>
      <c r="AC12" s="7">
        <f>IF(OR(AC11="", ISBLANK(AC11)), NA(), AC11/$E$11)</f>
        <v/>
      </c>
      <c r="AD12" s="5" t="n"/>
    </row>
    <row r="13">
      <c r="A13" s="31" t="inlineStr">
        <is>
          <t>NAUTICS</t>
        </is>
      </c>
      <c r="B13" s="36" t="inlineStr">
        <is>
          <t>Cable Cutting</t>
        </is>
      </c>
      <c r="C13" s="31" t="inlineStr">
        <is>
          <t>m</t>
        </is>
      </c>
      <c r="D13" s="31" t="inlineStr">
        <is>
          <t>Cumulative Qty</t>
        </is>
      </c>
      <c r="E13" s="9" t="n">
        <v>26381</v>
      </c>
      <c r="F13" s="9" t="n">
        <v>22277</v>
      </c>
      <c r="G13" s="9" t="n">
        <v>22277</v>
      </c>
      <c r="H13" s="9" t="n">
        <v>22289</v>
      </c>
      <c r="I13" s="9" t="n">
        <v>22311</v>
      </c>
      <c r="J13" s="10" t="n">
        <v>22441</v>
      </c>
      <c r="K13" s="10" t="n">
        <v>21826</v>
      </c>
      <c r="L13" s="10" t="n">
        <v>22255</v>
      </c>
      <c r="M13" s="10" t="n">
        <v>22343</v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1" t="n"/>
    </row>
    <row r="14">
      <c r="A14" s="33" t="n"/>
      <c r="B14" s="29" t="n"/>
      <c r="C14" s="29" t="n"/>
      <c r="D14" s="12" t="inlineStr">
        <is>
          <t>NAUTICS - Cable Cutting (%)</t>
        </is>
      </c>
      <c r="E14" s="13" t="n">
        <v>1</v>
      </c>
      <c r="F14" s="13">
        <f>F13/$E$13</f>
        <v/>
      </c>
      <c r="G14" s="13">
        <f>G13/$E$13</f>
        <v/>
      </c>
      <c r="H14" s="13">
        <f>H13/$E$13</f>
        <v/>
      </c>
      <c r="I14" s="13">
        <f>I13/$E$13</f>
        <v/>
      </c>
      <c r="J14" s="13">
        <f>IF(OR(J13="", ISBLANK(J13)), NA(), J13/$E$13)</f>
        <v/>
      </c>
      <c r="K14" s="13">
        <f>IF(OR(K13="", ISBLANK(K13)), NA(), K13/$E$13)</f>
        <v/>
      </c>
      <c r="L14" s="13">
        <f>IF(OR(L13="", ISBLANK(L13)), NA(), L13/$E$13)</f>
        <v/>
      </c>
      <c r="M14" s="13">
        <f>IF(OR(M13="", ISBLANK(M13)), NA(), M13/$E$13)</f>
        <v/>
      </c>
      <c r="N14" s="13">
        <f>IF(OR(N13="", ISBLANK(N13)), NA(), N13/$E$13)</f>
        <v/>
      </c>
      <c r="O14" s="13">
        <f>IF(OR(O13="", ISBLANK(O13)), NA(), O13/$E$13)</f>
        <v/>
      </c>
      <c r="P14" s="13">
        <f>IF(OR(P13="", ISBLANK(P13)), NA(), P13/$E$13)</f>
        <v/>
      </c>
      <c r="Q14" s="13">
        <f>IF(OR(Q13="", ISBLANK(Q13)), NA(), Q13/$E$13)</f>
        <v/>
      </c>
      <c r="R14" s="13">
        <f>IF(OR(R13="", ISBLANK(R13)), NA(), R13/$E$13)</f>
        <v/>
      </c>
      <c r="S14" s="13">
        <f>IF(OR(S13="", ISBLANK(S13)), NA(), S13/$E$13)</f>
        <v/>
      </c>
      <c r="T14" s="13">
        <f>IF(OR(T13="", ISBLANK(T13)), NA(), T13/$E$13)</f>
        <v/>
      </c>
      <c r="U14" s="13">
        <f>IF(OR(U13="", ISBLANK(U13)), NA(), U13/$E$13)</f>
        <v/>
      </c>
      <c r="V14" s="13">
        <f>IF(OR(V13="", ISBLANK(V13)), NA(), V13/$E$13)</f>
        <v/>
      </c>
      <c r="W14" s="13">
        <f>IF(OR(W13="", ISBLANK(W13)), NA(), W13/$E$13)</f>
        <v/>
      </c>
      <c r="X14" s="13">
        <f>IF(OR(X13="", ISBLANK(X13)), NA(), X13/$E$13)</f>
        <v/>
      </c>
      <c r="Y14" s="13">
        <f>IF(OR(Y13="", ISBLANK(Y13)), NA(), Y13/$E$13)</f>
        <v/>
      </c>
      <c r="Z14" s="13">
        <f>IF(OR(Z13="", ISBLANK(Z13)), NA(), Z13/$E$13)</f>
        <v/>
      </c>
      <c r="AA14" s="13">
        <f>IF(OR(AA13="", ISBLANK(AA13)), NA(), AA13/$E$13)</f>
        <v/>
      </c>
      <c r="AB14" s="13">
        <f>IF(OR(AB13="", ISBLANK(AB13)), NA(), AB13/$E$13)</f>
        <v/>
      </c>
      <c r="AC14" s="13">
        <f>IF(OR(AC13="", ISBLANK(AC13)), NA(), AC13/$E$13)</f>
        <v/>
      </c>
      <c r="AD14" s="11" t="n"/>
    </row>
    <row r="15">
      <c r="A15" s="33" t="n"/>
      <c r="B15" s="36" t="inlineStr">
        <is>
          <t>Cable Pulling</t>
        </is>
      </c>
      <c r="C15" s="31" t="inlineStr">
        <is>
          <t>m</t>
        </is>
      </c>
      <c r="D15" s="31" t="inlineStr">
        <is>
          <t>Cumulative Qty</t>
        </is>
      </c>
      <c r="E15" s="9" t="n">
        <v>26381</v>
      </c>
      <c r="F15" s="9" t="n">
        <v>0</v>
      </c>
      <c r="G15" s="9" t="n">
        <v>1831</v>
      </c>
      <c r="H15" s="9" t="n">
        <v>5354</v>
      </c>
      <c r="I15" s="9" t="n">
        <v>9109</v>
      </c>
      <c r="J15" s="10" t="n">
        <v>11706</v>
      </c>
      <c r="K15" s="10" t="n">
        <v>15381</v>
      </c>
      <c r="L15" s="10" t="n">
        <v>18345</v>
      </c>
      <c r="M15" s="10" t="n">
        <v>19059</v>
      </c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1" t="n"/>
    </row>
    <row r="16">
      <c r="A16" s="33" t="n"/>
      <c r="B16" s="29" t="n"/>
      <c r="C16" s="29" t="n"/>
      <c r="D16" s="12" t="inlineStr">
        <is>
          <t>NAUTICS - Cable Pulling (%)</t>
        </is>
      </c>
      <c r="E16" s="13" t="n">
        <v>1</v>
      </c>
      <c r="F16" s="13">
        <f>F15/$E$15</f>
        <v/>
      </c>
      <c r="G16" s="13">
        <f>G15/$E$15</f>
        <v/>
      </c>
      <c r="H16" s="13">
        <f>H15/$E$15</f>
        <v/>
      </c>
      <c r="I16" s="13">
        <f>I15/$E$15</f>
        <v/>
      </c>
      <c r="J16" s="13">
        <f>IF(OR(J15="", ISBLANK(J15)), NA(), J15/$E$15)</f>
        <v/>
      </c>
      <c r="K16" s="13">
        <f>IF(OR(K15="", ISBLANK(K15)), NA(), K15/$E$15)</f>
        <v/>
      </c>
      <c r="L16" s="13">
        <f>IF(OR(L15="", ISBLANK(L15)), NA(), L15/$E$15)</f>
        <v/>
      </c>
      <c r="M16" s="13">
        <f>IF(OR(M15="", ISBLANK(M15)), NA(), M15/$E$15)</f>
        <v/>
      </c>
      <c r="N16" s="13">
        <f>IF(OR(N15="", ISBLANK(N15)), NA(), N15/$E$15)</f>
        <v/>
      </c>
      <c r="O16" s="13">
        <f>IF(OR(O15="", ISBLANK(O15)), NA(), O15/$E$15)</f>
        <v/>
      </c>
      <c r="P16" s="13">
        <f>IF(OR(P15="", ISBLANK(P15)), NA(), P15/$E$15)</f>
        <v/>
      </c>
      <c r="Q16" s="13">
        <f>IF(OR(Q15="", ISBLANK(Q15)), NA(), Q15/$E$15)</f>
        <v/>
      </c>
      <c r="R16" s="13">
        <f>IF(OR(R15="", ISBLANK(R15)), NA(), R15/$E$15)</f>
        <v/>
      </c>
      <c r="S16" s="13">
        <f>IF(OR(S15="", ISBLANK(S15)), NA(), S15/$E$15)</f>
        <v/>
      </c>
      <c r="T16" s="13">
        <f>IF(OR(T15="", ISBLANK(T15)), NA(), T15/$E$15)</f>
        <v/>
      </c>
      <c r="U16" s="13">
        <f>IF(OR(U15="", ISBLANK(U15)), NA(), U15/$E$15)</f>
        <v/>
      </c>
      <c r="V16" s="13">
        <f>IF(OR(V15="", ISBLANK(V15)), NA(), V15/$E$15)</f>
        <v/>
      </c>
      <c r="W16" s="13">
        <f>IF(OR(W15="", ISBLANK(W15)), NA(), W15/$E$15)</f>
        <v/>
      </c>
      <c r="X16" s="13">
        <f>IF(OR(X15="", ISBLANK(X15)), NA(), X15/$E$15)</f>
        <v/>
      </c>
      <c r="Y16" s="13">
        <f>IF(OR(Y15="", ISBLANK(Y15)), NA(), Y15/$E$15)</f>
        <v/>
      </c>
      <c r="Z16" s="13">
        <f>IF(OR(Z15="", ISBLANK(Z15)), NA(), Z15/$E$15)</f>
        <v/>
      </c>
      <c r="AA16" s="13">
        <f>IF(OR(AA15="", ISBLANK(AA15)), NA(), AA15/$E$15)</f>
        <v/>
      </c>
      <c r="AB16" s="13">
        <f>IF(OR(AB15="", ISBLANK(AB15)), NA(), AB15/$E$15)</f>
        <v/>
      </c>
      <c r="AC16" s="13">
        <f>IF(OR(AC15="", ISBLANK(AC15)), NA(), AC15/$E$15)</f>
        <v/>
      </c>
      <c r="AD16" s="11" t="n"/>
    </row>
    <row r="17">
      <c r="A17" s="33" t="n"/>
      <c r="B17" s="36" t="inlineStr">
        <is>
          <t>Termination</t>
        </is>
      </c>
      <c r="C17" s="31" t="inlineStr">
        <is>
          <t>pts</t>
        </is>
      </c>
      <c r="D17" s="31" t="inlineStr">
        <is>
          <t>Cumulative Qty</t>
        </is>
      </c>
      <c r="E17" s="9" t="n">
        <v>2006</v>
      </c>
      <c r="F17" s="9" t="n">
        <v>0</v>
      </c>
      <c r="G17" s="9" t="n">
        <v>0</v>
      </c>
      <c r="H17" s="9" t="n">
        <v>0</v>
      </c>
      <c r="I17" s="9" t="n">
        <v>0</v>
      </c>
      <c r="J17" s="10" t="n">
        <v>0</v>
      </c>
      <c r="K17" s="10" t="n">
        <v>58</v>
      </c>
      <c r="L17" s="10" t="n">
        <v>116</v>
      </c>
      <c r="M17" s="10" t="n">
        <v>207</v>
      </c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1" t="n"/>
    </row>
    <row r="18">
      <c r="A18" s="29" t="n"/>
      <c r="B18" s="29" t="n"/>
      <c r="C18" s="29" t="n"/>
      <c r="D18" s="12" t="inlineStr">
        <is>
          <t>NAUTICS - Termination (%)</t>
        </is>
      </c>
      <c r="E18" s="13" t="n">
        <v>1</v>
      </c>
      <c r="F18" s="13">
        <f>F17/$E$17</f>
        <v/>
      </c>
      <c r="G18" s="13">
        <f>G17/$E$17</f>
        <v/>
      </c>
      <c r="H18" s="13">
        <f>H17/$E$17</f>
        <v/>
      </c>
      <c r="I18" s="13">
        <f>I17/$E$17</f>
        <v/>
      </c>
      <c r="J18" s="13">
        <f>IF(OR(J17="", ISBLANK(J17)), NA(), J17/$E$17)</f>
        <v/>
      </c>
      <c r="K18" s="13">
        <f>IF(OR(K17="", ISBLANK(K17)), NA(), K17/$E$17)</f>
        <v/>
      </c>
      <c r="L18" s="13">
        <f>IF(OR(L17="", ISBLANK(L17)), NA(), L17/$E$17)</f>
        <v/>
      </c>
      <c r="M18" s="13">
        <f>IF(OR(M17="", ISBLANK(M17)), NA(), M17/$E$17)</f>
        <v/>
      </c>
      <c r="N18" s="13">
        <f>IF(OR(N17="", ISBLANK(N17)), NA(), N17/$E$17)</f>
        <v/>
      </c>
      <c r="O18" s="13">
        <f>IF(OR(O17="", ISBLANK(O17)), NA(), O17/$E$17)</f>
        <v/>
      </c>
      <c r="P18" s="13">
        <f>IF(OR(P17="", ISBLANK(P17)), NA(), P17/$E$17)</f>
        <v/>
      </c>
      <c r="Q18" s="13">
        <f>IF(OR(Q17="", ISBLANK(Q17)), NA(), Q17/$E$17)</f>
        <v/>
      </c>
      <c r="R18" s="13">
        <f>IF(OR(R17="", ISBLANK(R17)), NA(), R17/$E$17)</f>
        <v/>
      </c>
      <c r="S18" s="13">
        <f>IF(OR(S17="", ISBLANK(S17)), NA(), S17/$E$17)</f>
        <v/>
      </c>
      <c r="T18" s="13">
        <f>IF(OR(T17="", ISBLANK(T17)), NA(), T17/$E$17)</f>
        <v/>
      </c>
      <c r="U18" s="13">
        <f>IF(OR(U17="", ISBLANK(U17)), NA(), U17/$E$17)</f>
        <v/>
      </c>
      <c r="V18" s="13">
        <f>IF(OR(V17="", ISBLANK(V17)), NA(), V17/$E$17)</f>
        <v/>
      </c>
      <c r="W18" s="13">
        <f>IF(OR(W17="", ISBLANK(W17)), NA(), W17/$E$17)</f>
        <v/>
      </c>
      <c r="X18" s="13">
        <f>IF(OR(X17="", ISBLANK(X17)), NA(), X17/$E$17)</f>
        <v/>
      </c>
      <c r="Y18" s="13">
        <f>IF(OR(Y17="", ISBLANK(Y17)), NA(), Y17/$E$17)</f>
        <v/>
      </c>
      <c r="Z18" s="13">
        <f>IF(OR(Z17="", ISBLANK(Z17)), NA(), Z17/$E$17)</f>
        <v/>
      </c>
      <c r="AA18" s="13">
        <f>IF(OR(AA17="", ISBLANK(AA17)), NA(), AA17/$E$17)</f>
        <v/>
      </c>
      <c r="AB18" s="13">
        <f>IF(OR(AB17="", ISBLANK(AB17)), NA(), AB17/$E$17)</f>
        <v/>
      </c>
      <c r="AC18" s="13">
        <f>IF(OR(AC17="", ISBLANK(AC17)), NA(), AC17/$E$17)</f>
        <v/>
      </c>
      <c r="AD18" s="11" t="n"/>
    </row>
    <row r="19">
      <c r="A19" s="30" t="inlineStr">
        <is>
          <t>ST</t>
        </is>
      </c>
      <c r="B19" s="35" t="inlineStr">
        <is>
          <t>Cable Cutting</t>
        </is>
      </c>
      <c r="C19" s="30" t="inlineStr">
        <is>
          <t>m</t>
        </is>
      </c>
      <c r="D19" s="30" t="inlineStr">
        <is>
          <t>Cumulative Qty</t>
        </is>
      </c>
      <c r="E19" s="15" t="n">
        <v>8593</v>
      </c>
      <c r="F19" s="15" t="n">
        <v>0</v>
      </c>
      <c r="G19" s="15" t="n">
        <v>6615</v>
      </c>
      <c r="H19" s="15" t="n">
        <v>6615</v>
      </c>
      <c r="I19" s="15" t="n">
        <v>6615</v>
      </c>
      <c r="J19" s="16" t="n">
        <v>6759</v>
      </c>
      <c r="K19" s="16" t="n">
        <v>6762</v>
      </c>
      <c r="L19" s="16" t="n">
        <v>6763</v>
      </c>
      <c r="M19" s="16" t="n">
        <v>7517</v>
      </c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7" t="n"/>
    </row>
    <row r="20">
      <c r="A20" s="33" t="n"/>
      <c r="B20" s="29" t="n"/>
      <c r="C20" s="29" t="n"/>
      <c r="D20" s="18" t="inlineStr">
        <is>
          <t>ST - Cable Cutting (%)</t>
        </is>
      </c>
      <c r="E20" s="19" t="n">
        <v>1</v>
      </c>
      <c r="F20" s="19">
        <f>F19/$E$19</f>
        <v/>
      </c>
      <c r="G20" s="19">
        <f>G19/$E$19</f>
        <v/>
      </c>
      <c r="H20" s="19">
        <f>H19/$E$19</f>
        <v/>
      </c>
      <c r="I20" s="19">
        <f>I19/$E$19</f>
        <v/>
      </c>
      <c r="J20" s="19">
        <f>IF(OR(J19="", ISBLANK(J19)), NA(), J19/$E$19)</f>
        <v/>
      </c>
      <c r="K20" s="19">
        <f>IF(OR(K19="", ISBLANK(K19)), NA(), K19/$E$19)</f>
        <v/>
      </c>
      <c r="L20" s="19">
        <f>IF(OR(L19="", ISBLANK(L19)), NA(), L19/$E$19)</f>
        <v/>
      </c>
      <c r="M20" s="19">
        <f>IF(OR(M19="", ISBLANK(M19)), NA(), M19/$E$19)</f>
        <v/>
      </c>
      <c r="N20" s="19">
        <f>IF(OR(N19="", ISBLANK(N19)), NA(), N19/$E$19)</f>
        <v/>
      </c>
      <c r="O20" s="19">
        <f>IF(OR(O19="", ISBLANK(O19)), NA(), O19/$E$19)</f>
        <v/>
      </c>
      <c r="P20" s="19">
        <f>IF(OR(P19="", ISBLANK(P19)), NA(), P19/$E$19)</f>
        <v/>
      </c>
      <c r="Q20" s="19">
        <f>IF(OR(Q19="", ISBLANK(Q19)), NA(), Q19/$E$19)</f>
        <v/>
      </c>
      <c r="R20" s="19">
        <f>IF(OR(R19="", ISBLANK(R19)), NA(), R19/$E$19)</f>
        <v/>
      </c>
      <c r="S20" s="19">
        <f>IF(OR(S19="", ISBLANK(S19)), NA(), S19/$E$19)</f>
        <v/>
      </c>
      <c r="T20" s="19">
        <f>IF(OR(T19="", ISBLANK(T19)), NA(), T19/$E$19)</f>
        <v/>
      </c>
      <c r="U20" s="19">
        <f>IF(OR(U19="", ISBLANK(U19)), NA(), U19/$E$19)</f>
        <v/>
      </c>
      <c r="V20" s="19">
        <f>IF(OR(V19="", ISBLANK(V19)), NA(), V19/$E$19)</f>
        <v/>
      </c>
      <c r="W20" s="19">
        <f>IF(OR(W19="", ISBLANK(W19)), NA(), W19/$E$19)</f>
        <v/>
      </c>
      <c r="X20" s="19">
        <f>IF(OR(X19="", ISBLANK(X19)), NA(), X19/$E$19)</f>
        <v/>
      </c>
      <c r="Y20" s="19">
        <f>IF(OR(Y19="", ISBLANK(Y19)), NA(), Y19/$E$19)</f>
        <v/>
      </c>
      <c r="Z20" s="19">
        <f>IF(OR(Z19="", ISBLANK(Z19)), NA(), Z19/$E$19)</f>
        <v/>
      </c>
      <c r="AA20" s="19">
        <f>IF(OR(AA19="", ISBLANK(AA19)), NA(), AA19/$E$19)</f>
        <v/>
      </c>
      <c r="AB20" s="19">
        <f>IF(OR(AB19="", ISBLANK(AB19)), NA(), AB19/$E$19)</f>
        <v/>
      </c>
      <c r="AC20" s="19">
        <f>IF(OR(AC19="", ISBLANK(AC19)), NA(), AC19/$E$19)</f>
        <v/>
      </c>
      <c r="AD20" s="17" t="n"/>
    </row>
    <row r="21">
      <c r="A21" s="33" t="n"/>
      <c r="B21" s="35" t="inlineStr">
        <is>
          <t>Cable Pulling</t>
        </is>
      </c>
      <c r="C21" s="30" t="inlineStr">
        <is>
          <t>m</t>
        </is>
      </c>
      <c r="D21" s="30" t="inlineStr">
        <is>
          <t>Cumulative Qty</t>
        </is>
      </c>
      <c r="E21" s="15" t="n">
        <v>8593</v>
      </c>
      <c r="F21" s="15" t="n">
        <v>0</v>
      </c>
      <c r="G21" s="15" t="n">
        <v>0</v>
      </c>
      <c r="H21" s="15" t="n">
        <v>0</v>
      </c>
      <c r="I21" s="15" t="n">
        <v>0</v>
      </c>
      <c r="J21" s="16" t="n">
        <v>1850</v>
      </c>
      <c r="K21" s="16" t="n">
        <v>3363</v>
      </c>
      <c r="L21" s="16" t="n">
        <v>4765</v>
      </c>
      <c r="M21" s="16" t="n">
        <v>5721</v>
      </c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7" t="n"/>
    </row>
    <row r="22">
      <c r="A22" s="33" t="n"/>
      <c r="B22" s="29" t="n"/>
      <c r="C22" s="29" t="n"/>
      <c r="D22" s="18" t="inlineStr">
        <is>
          <t>ST - Cable Pulling (%)</t>
        </is>
      </c>
      <c r="E22" s="19" t="n">
        <v>1</v>
      </c>
      <c r="F22" s="19">
        <f>F21/$E$21</f>
        <v/>
      </c>
      <c r="G22" s="19">
        <f>G21/$E$21</f>
        <v/>
      </c>
      <c r="H22" s="19">
        <f>H21/$E$21</f>
        <v/>
      </c>
      <c r="I22" s="19">
        <f>I21/$E$21</f>
        <v/>
      </c>
      <c r="J22" s="19">
        <f>IF(OR(J21="", ISBLANK(J21)), NA(), J21/$E$21)</f>
        <v/>
      </c>
      <c r="K22" s="19">
        <f>IF(OR(K21="", ISBLANK(K21)), NA(), K21/$E$21)</f>
        <v/>
      </c>
      <c r="L22" s="19">
        <f>IF(OR(L21="", ISBLANK(L21)), NA(), L21/$E$21)</f>
        <v/>
      </c>
      <c r="M22" s="19">
        <f>IF(OR(M21="", ISBLANK(M21)), NA(), M21/$E$21)</f>
        <v/>
      </c>
      <c r="N22" s="19">
        <f>IF(OR(N21="", ISBLANK(N21)), NA(), N21/$E$21)</f>
        <v/>
      </c>
      <c r="O22" s="19">
        <f>IF(OR(O21="", ISBLANK(O21)), NA(), O21/$E$21)</f>
        <v/>
      </c>
      <c r="P22" s="19">
        <f>IF(OR(P21="", ISBLANK(P21)), NA(), P21/$E$21)</f>
        <v/>
      </c>
      <c r="Q22" s="19">
        <f>IF(OR(Q21="", ISBLANK(Q21)), NA(), Q21/$E$21)</f>
        <v/>
      </c>
      <c r="R22" s="19">
        <f>IF(OR(R21="", ISBLANK(R21)), NA(), R21/$E$21)</f>
        <v/>
      </c>
      <c r="S22" s="19">
        <f>IF(OR(S21="", ISBLANK(S21)), NA(), S21/$E$21)</f>
        <v/>
      </c>
      <c r="T22" s="19">
        <f>IF(OR(T21="", ISBLANK(T21)), NA(), T21/$E$21)</f>
        <v/>
      </c>
      <c r="U22" s="19">
        <f>IF(OR(U21="", ISBLANK(U21)), NA(), U21/$E$21)</f>
        <v/>
      </c>
      <c r="V22" s="19">
        <f>IF(OR(V21="", ISBLANK(V21)), NA(), V21/$E$21)</f>
        <v/>
      </c>
      <c r="W22" s="19">
        <f>IF(OR(W21="", ISBLANK(W21)), NA(), W21/$E$21)</f>
        <v/>
      </c>
      <c r="X22" s="19">
        <f>IF(OR(X21="", ISBLANK(X21)), NA(), X21/$E$21)</f>
        <v/>
      </c>
      <c r="Y22" s="19">
        <f>IF(OR(Y21="", ISBLANK(Y21)), NA(), Y21/$E$21)</f>
        <v/>
      </c>
      <c r="Z22" s="19">
        <f>IF(OR(Z21="", ISBLANK(Z21)), NA(), Z21/$E$21)</f>
        <v/>
      </c>
      <c r="AA22" s="19">
        <f>IF(OR(AA21="", ISBLANK(AA21)), NA(), AA21/$E$21)</f>
        <v/>
      </c>
      <c r="AB22" s="19">
        <f>IF(OR(AB21="", ISBLANK(AB21)), NA(), AB21/$E$21)</f>
        <v/>
      </c>
      <c r="AC22" s="19">
        <f>IF(OR(AC21="", ISBLANK(AC21)), NA(), AC21/$E$21)</f>
        <v/>
      </c>
      <c r="AD22" s="17" t="n"/>
    </row>
    <row r="23">
      <c r="A23" s="33" t="n"/>
      <c r="B23" s="35" t="inlineStr">
        <is>
          <t>Termination</t>
        </is>
      </c>
      <c r="C23" s="30" t="inlineStr">
        <is>
          <t>pts</t>
        </is>
      </c>
      <c r="D23" s="30" t="inlineStr">
        <is>
          <t>Cumulative Qty</t>
        </is>
      </c>
      <c r="E23" s="15" t="n">
        <v>554</v>
      </c>
      <c r="F23" s="15" t="n">
        <v>0</v>
      </c>
      <c r="G23" s="15" t="n">
        <v>0</v>
      </c>
      <c r="H23" s="15" t="n">
        <v>0</v>
      </c>
      <c r="I23" s="15" t="n">
        <v>0</v>
      </c>
      <c r="J23" s="16" t="n">
        <v>0</v>
      </c>
      <c r="K23" s="16" t="n">
        <v>0</v>
      </c>
      <c r="L23" s="16" t="n">
        <v>0</v>
      </c>
      <c r="M23" s="16" t="n">
        <v>0</v>
      </c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7" t="n"/>
    </row>
    <row r="24">
      <c r="A24" s="29" t="n"/>
      <c r="B24" s="29" t="n"/>
      <c r="C24" s="29" t="n"/>
      <c r="D24" s="18" t="inlineStr">
        <is>
          <t>ST - Termination (%)</t>
        </is>
      </c>
      <c r="E24" s="19" t="n">
        <v>1</v>
      </c>
      <c r="F24" s="19">
        <f>F23/$E$23</f>
        <v/>
      </c>
      <c r="G24" s="19">
        <f>G23/$E$23</f>
        <v/>
      </c>
      <c r="H24" s="19">
        <f>H23/$E$23</f>
        <v/>
      </c>
      <c r="I24" s="19">
        <f>I23/$E$23</f>
        <v/>
      </c>
      <c r="J24" s="19">
        <f>IF(OR(J23="", ISBLANK(J23)), NA(), J23/$E$23)</f>
        <v/>
      </c>
      <c r="K24" s="19">
        <f>IF(OR(K23="", ISBLANK(K23)), NA(), K23/$E$23)</f>
        <v/>
      </c>
      <c r="L24" s="19">
        <f>IF(OR(L23="", ISBLANK(L23)), NA(), L23/$E$23)</f>
        <v/>
      </c>
      <c r="M24" s="19">
        <f>IF(OR(M23="", ISBLANK(M23)), NA(), M23/$E$23)</f>
        <v/>
      </c>
      <c r="N24" s="19">
        <f>IF(OR(N23="", ISBLANK(N23)), NA(), N23/$E$23)</f>
        <v/>
      </c>
      <c r="O24" s="19">
        <f>IF(OR(O23="", ISBLANK(O23)), NA(), O23/$E$23)</f>
        <v/>
      </c>
      <c r="P24" s="19">
        <f>IF(OR(P23="", ISBLANK(P23)), NA(), P23/$E$23)</f>
        <v/>
      </c>
      <c r="Q24" s="19">
        <f>IF(OR(Q23="", ISBLANK(Q23)), NA(), Q23/$E$23)</f>
        <v/>
      </c>
      <c r="R24" s="19">
        <f>IF(OR(R23="", ISBLANK(R23)), NA(), R23/$E$23)</f>
        <v/>
      </c>
      <c r="S24" s="19">
        <f>IF(OR(S23="", ISBLANK(S23)), NA(), S23/$E$23)</f>
        <v/>
      </c>
      <c r="T24" s="19">
        <f>IF(OR(T23="", ISBLANK(T23)), NA(), T23/$E$23)</f>
        <v/>
      </c>
      <c r="U24" s="19">
        <f>IF(OR(U23="", ISBLANK(U23)), NA(), U23/$E$23)</f>
        <v/>
      </c>
      <c r="V24" s="19">
        <f>IF(OR(V23="", ISBLANK(V23)), NA(), V23/$E$23)</f>
        <v/>
      </c>
      <c r="W24" s="19">
        <f>IF(OR(W23="", ISBLANK(W23)), NA(), W23/$E$23)</f>
        <v/>
      </c>
      <c r="X24" s="19">
        <f>IF(OR(X23="", ISBLANK(X23)), NA(), X23/$E$23)</f>
        <v/>
      </c>
      <c r="Y24" s="19">
        <f>IF(OR(Y23="", ISBLANK(Y23)), NA(), Y23/$E$23)</f>
        <v/>
      </c>
      <c r="Z24" s="19">
        <f>IF(OR(Z23="", ISBLANK(Z23)), NA(), Z23/$E$23)</f>
        <v/>
      </c>
      <c r="AA24" s="19">
        <f>IF(OR(AA23="", ISBLANK(AA23)), NA(), AA23/$E$23)</f>
        <v/>
      </c>
      <c r="AB24" s="19">
        <f>IF(OR(AB23="", ISBLANK(AB23)), NA(), AB23/$E$23)</f>
        <v/>
      </c>
      <c r="AC24" s="19">
        <f>IF(OR(AC23="", ISBLANK(AC23)), NA(), AC23/$E$23)</f>
        <v/>
      </c>
      <c r="AD24" s="17" t="n"/>
    </row>
    <row r="25">
      <c r="A25" s="34" t="inlineStr">
        <is>
          <t>TOTAL PROJECT</t>
        </is>
      </c>
      <c r="B25" s="37" t="inlineStr">
        <is>
          <t>Cable Cutting</t>
        </is>
      </c>
      <c r="C25" s="34" t="inlineStr">
        <is>
          <t>m</t>
        </is>
      </c>
      <c r="D25" s="34" t="inlineStr">
        <is>
          <t>Cumulative Qty</t>
        </is>
      </c>
      <c r="E25" s="21">
        <f>SUM(E7,E13,E19)</f>
        <v/>
      </c>
      <c r="F25" s="21">
        <f>IF(COUNT(F7,F13,F19)&gt;0, SUM(F7,F13,F19), "")</f>
        <v/>
      </c>
      <c r="G25" s="21">
        <f>IF(COUNT(G7,G13,G19)&gt;0, SUM(G7,G13,G19), "")</f>
        <v/>
      </c>
      <c r="H25" s="21">
        <f>IF(COUNT(H7,H13,H19)&gt;0, SUM(H7,H13,H19), "")</f>
        <v/>
      </c>
      <c r="I25" s="21">
        <f>IF(COUNT(I7,I13,I19)&gt;0, SUM(I7,I13,I19), "")</f>
        <v/>
      </c>
      <c r="J25" s="21">
        <f>IF(COUNT(J7,J13,J19)&gt;0, SUM(J7,J13,J19), "")</f>
        <v/>
      </c>
      <c r="K25" s="21">
        <f>IF(COUNT(K7,K13,K19)&gt;0, SUM(K7,K13,K19), "")</f>
        <v/>
      </c>
      <c r="L25" s="21">
        <f>IF(COUNT(L7,L13,L19)&gt;0, SUM(L7,L13,L19), "")</f>
        <v/>
      </c>
      <c r="M25" s="21" t="n">
        <v>59724</v>
      </c>
      <c r="N25" s="21">
        <f>IF(COUNT(N7,N13,N19)&gt;0, SUM(N7,N13,N19), "")</f>
        <v/>
      </c>
      <c r="O25" s="21">
        <f>IF(COUNT(O7,O13,O19)&gt;0, SUM(O7,O13,O19), "")</f>
        <v/>
      </c>
      <c r="P25" s="21">
        <f>IF(COUNT(P7,P13,P19)&gt;0, SUM(P7,P13,P19), "")</f>
        <v/>
      </c>
      <c r="Q25" s="21">
        <f>IF(COUNT(Q7,Q13,Q19)&gt;0, SUM(Q7,Q13,Q19), "")</f>
        <v/>
      </c>
      <c r="R25" s="21">
        <f>IF(COUNT(R7,R13,R19)&gt;0, SUM(R7,R13,R19), "")</f>
        <v/>
      </c>
      <c r="S25" s="21">
        <f>IF(COUNT(S7,S13,S19)&gt;0, SUM(S7,S13,S19), "")</f>
        <v/>
      </c>
      <c r="T25" s="21">
        <f>IF(COUNT(T7,T13,T19)&gt;0, SUM(T7,T13,T19), "")</f>
        <v/>
      </c>
      <c r="U25" s="21">
        <f>IF(COUNT(U7,U13,U19)&gt;0, SUM(U7,U13,U19), "")</f>
        <v/>
      </c>
      <c r="V25" s="21">
        <f>IF(COUNT(V7,V13,V19)&gt;0, SUM(V7,V13,V19), "")</f>
        <v/>
      </c>
      <c r="W25" s="21">
        <f>IF(COUNT(W7,W13,W19)&gt;0, SUM(W7,W13,W19), "")</f>
        <v/>
      </c>
      <c r="X25" s="21">
        <f>IF(COUNT(X7,X13,X19)&gt;0, SUM(X7,X13,X19), "")</f>
        <v/>
      </c>
      <c r="Y25" s="21">
        <f>IF(COUNT(Y7,Y13,Y19)&gt;0, SUM(Y7,Y13,Y19), "")</f>
        <v/>
      </c>
      <c r="Z25" s="21">
        <f>IF(COUNT(Z7,Z13,Z19)&gt;0, SUM(Z7,Z13,Z19), "")</f>
        <v/>
      </c>
      <c r="AA25" s="21">
        <f>IF(COUNT(AA7,AA13,AA19)&gt;0, SUM(AA7,AA13,AA19), "")</f>
        <v/>
      </c>
      <c r="AB25" s="21">
        <f>IF(COUNT(AB7,AB13,AB19)&gt;0, SUM(AB7,AB13,AB19), "")</f>
        <v/>
      </c>
      <c r="AC25" s="21">
        <f>IF(COUNT(AC7,AC13,AC19)&gt;0, SUM(AC7,AC13,AC19), "")</f>
        <v/>
      </c>
      <c r="AD25" s="22" t="n"/>
    </row>
    <row r="26">
      <c r="A26" s="33" t="n"/>
      <c r="B26" s="29" t="n"/>
      <c r="C26" s="29" t="n"/>
      <c r="D26" s="34" t="inlineStr">
        <is>
          <t>TOTAL PROJECT - Cable Cutting (%)</t>
        </is>
      </c>
      <c r="E26" s="23" t="n">
        <v>1</v>
      </c>
      <c r="F26" s="23">
        <f>IF(OR(F25="", ISBLANK(F25)), NA(), F25/$E$25)</f>
        <v/>
      </c>
      <c r="G26" s="23">
        <f>IF(OR(G25="", ISBLANK(G25)), NA(), G25/$E$25)</f>
        <v/>
      </c>
      <c r="H26" s="23">
        <f>IF(OR(H25="", ISBLANK(H25)), NA(), H25/$E$25)</f>
        <v/>
      </c>
      <c r="I26" s="23">
        <f>IF(OR(I25="", ISBLANK(I25)), NA(), I25/$E$25)</f>
        <v/>
      </c>
      <c r="J26" s="23">
        <f>IF(OR(J25="", ISBLANK(J25)), NA(), J25/$E$25)</f>
        <v/>
      </c>
      <c r="K26" s="23">
        <f>IF(OR(K25="", ISBLANK(K25)), NA(), K25/$E$25)</f>
        <v/>
      </c>
      <c r="L26" s="23">
        <f>IF(OR(L25="", ISBLANK(L25)), NA(), L25/$E$25)</f>
        <v/>
      </c>
      <c r="M26" s="23">
        <f>IF(OR(M25="", ISBLANK(M25)), NA(), M25/$E$25)</f>
        <v/>
      </c>
      <c r="N26" s="23">
        <f>IF(OR(N25="", ISBLANK(N25)), NA(), N25/$E$25)</f>
        <v/>
      </c>
      <c r="O26" s="23">
        <f>IF(OR(O25="", ISBLANK(O25)), NA(), O25/$E$25)</f>
        <v/>
      </c>
      <c r="P26" s="23">
        <f>IF(OR(P25="", ISBLANK(P25)), NA(), P25/$E$25)</f>
        <v/>
      </c>
      <c r="Q26" s="23">
        <f>IF(OR(Q25="", ISBLANK(Q25)), NA(), Q25/$E$25)</f>
        <v/>
      </c>
      <c r="R26" s="23">
        <f>IF(OR(R25="", ISBLANK(R25)), NA(), R25/$E$25)</f>
        <v/>
      </c>
      <c r="S26" s="23">
        <f>IF(OR(S25="", ISBLANK(S25)), NA(), S25/$E$25)</f>
        <v/>
      </c>
      <c r="T26" s="23">
        <f>IF(OR(T25="", ISBLANK(T25)), NA(), T25/$E$25)</f>
        <v/>
      </c>
      <c r="U26" s="23">
        <f>IF(OR(U25="", ISBLANK(U25)), NA(), U25/$E$25)</f>
        <v/>
      </c>
      <c r="V26" s="23">
        <f>IF(OR(V25="", ISBLANK(V25)), NA(), V25/$E$25)</f>
        <v/>
      </c>
      <c r="W26" s="23">
        <f>IF(OR(W25="", ISBLANK(W25)), NA(), W25/$E$25)</f>
        <v/>
      </c>
      <c r="X26" s="23">
        <f>IF(OR(X25="", ISBLANK(X25)), NA(), X25/$E$25)</f>
        <v/>
      </c>
      <c r="Y26" s="23">
        <f>IF(OR(Y25="", ISBLANK(Y25)), NA(), Y25/$E$25)</f>
        <v/>
      </c>
      <c r="Z26" s="23">
        <f>IF(OR(Z25="", ISBLANK(Z25)), NA(), Z25/$E$25)</f>
        <v/>
      </c>
      <c r="AA26" s="23">
        <f>IF(OR(AA25="", ISBLANK(AA25)), NA(), AA25/$E$25)</f>
        <v/>
      </c>
      <c r="AB26" s="23">
        <f>IF(OR(AB25="", ISBLANK(AB25)), NA(), AB25/$E$25)</f>
        <v/>
      </c>
      <c r="AC26" s="23">
        <f>IF(OR(AC25="", ISBLANK(AC25)), NA(), AC25/$E$25)</f>
        <v/>
      </c>
      <c r="AD26" s="22" t="n"/>
    </row>
    <row r="27">
      <c r="A27" s="33" t="n"/>
      <c r="B27" s="37" t="inlineStr">
        <is>
          <t>Cable Pulling</t>
        </is>
      </c>
      <c r="C27" s="34" t="inlineStr">
        <is>
          <t>m</t>
        </is>
      </c>
      <c r="D27" s="34" t="inlineStr">
        <is>
          <t>Cumulative Qty</t>
        </is>
      </c>
      <c r="E27" s="21">
        <f>SUM(E9,E15,E21)</f>
        <v/>
      </c>
      <c r="F27" s="21">
        <f>IF(COUNT(F9,F15,F21)&gt;0, SUM(F9,F15,F21), "")</f>
        <v/>
      </c>
      <c r="G27" s="21">
        <f>IF(COUNT(G9,G15,G21)&gt;0, SUM(G9,G15,G21), "")</f>
        <v/>
      </c>
      <c r="H27" s="21">
        <f>IF(COUNT(H9,H15,H21)&gt;0, SUM(H9,H15,H21), "")</f>
        <v/>
      </c>
      <c r="I27" s="21">
        <f>IF(COUNT(I9,I15,I21)&gt;0, SUM(I9,I15,I21), "")</f>
        <v/>
      </c>
      <c r="J27" s="21">
        <f>IF(COUNT(J9,J15,J21)&gt;0, SUM(J9,J15,J21), "")</f>
        <v/>
      </c>
      <c r="K27" s="21">
        <f>IF(COUNT(K9,K15,K21)&gt;0, SUM(K9,K15,K21), "")</f>
        <v/>
      </c>
      <c r="L27" s="21">
        <f>IF(COUNT(L9,L15,L21)&gt;0, SUM(L9,L15,L21), "")</f>
        <v/>
      </c>
      <c r="M27" s="21" t="n">
        <v>49686</v>
      </c>
      <c r="N27" s="21">
        <f>IF(COUNT(N9,N15,N21)&gt;0, SUM(N9,N15,N21), "")</f>
        <v/>
      </c>
      <c r="O27" s="21">
        <f>IF(COUNT(O9,O15,O21)&gt;0, SUM(O9,O15,O21), "")</f>
        <v/>
      </c>
      <c r="P27" s="21">
        <f>IF(COUNT(P9,P15,P21)&gt;0, SUM(P9,P15,P21), "")</f>
        <v/>
      </c>
      <c r="Q27" s="21">
        <f>IF(COUNT(Q9,Q15,Q21)&gt;0, SUM(Q9,Q15,Q21), "")</f>
        <v/>
      </c>
      <c r="R27" s="21">
        <f>IF(COUNT(R9,R15,R21)&gt;0, SUM(R9,R15,R21), "")</f>
        <v/>
      </c>
      <c r="S27" s="21">
        <f>IF(COUNT(S9,S15,S21)&gt;0, SUM(S9,S15,S21), "")</f>
        <v/>
      </c>
      <c r="T27" s="21">
        <f>IF(COUNT(T9,T15,T21)&gt;0, SUM(T9,T15,T21), "")</f>
        <v/>
      </c>
      <c r="U27" s="21">
        <f>IF(COUNT(U9,U15,U21)&gt;0, SUM(U9,U15,U21), "")</f>
        <v/>
      </c>
      <c r="V27" s="21">
        <f>IF(COUNT(V9,V15,V21)&gt;0, SUM(V9,V15,V21), "")</f>
        <v/>
      </c>
      <c r="W27" s="21">
        <f>IF(COUNT(W9,W15,W21)&gt;0, SUM(W9,W15,W21), "")</f>
        <v/>
      </c>
      <c r="X27" s="21">
        <f>IF(COUNT(X9,X15,X21)&gt;0, SUM(X9,X15,X21), "")</f>
        <v/>
      </c>
      <c r="Y27" s="21">
        <f>IF(COUNT(Y9,Y15,Y21)&gt;0, SUM(Y9,Y15,Y21), "")</f>
        <v/>
      </c>
      <c r="Z27" s="21">
        <f>IF(COUNT(Z9,Z15,Z21)&gt;0, SUM(Z9,Z15,Z21), "")</f>
        <v/>
      </c>
      <c r="AA27" s="21">
        <f>IF(COUNT(AA9,AA15,AA21)&gt;0, SUM(AA9,AA15,AA21), "")</f>
        <v/>
      </c>
      <c r="AB27" s="21">
        <f>IF(COUNT(AB9,AB15,AB21)&gt;0, SUM(AB9,AB15,AB21), "")</f>
        <v/>
      </c>
      <c r="AC27" s="21">
        <f>IF(COUNT(AC9,AC15,AC21)&gt;0, SUM(AC9,AC15,AC21), "")</f>
        <v/>
      </c>
      <c r="AD27" s="22" t="n"/>
    </row>
    <row r="28">
      <c r="A28" s="33" t="n"/>
      <c r="B28" s="29" t="n"/>
      <c r="C28" s="29" t="n"/>
      <c r="D28" s="34" t="inlineStr">
        <is>
          <t>TOTAL PROJECT - Cable Pulling (%)</t>
        </is>
      </c>
      <c r="E28" s="23" t="n">
        <v>1</v>
      </c>
      <c r="F28" s="23">
        <f>IF(OR(F27="", ISBLANK(F27)), NA(), F27/$E$27)</f>
        <v/>
      </c>
      <c r="G28" s="23">
        <f>IF(OR(G27="", ISBLANK(G27)), NA(), G27/$E$27)</f>
        <v/>
      </c>
      <c r="H28" s="23">
        <f>IF(OR(H27="", ISBLANK(H27)), NA(), H27/$E$27)</f>
        <v/>
      </c>
      <c r="I28" s="23">
        <f>IF(OR(I27="", ISBLANK(I27)), NA(), I27/$E$27)</f>
        <v/>
      </c>
      <c r="J28" s="23">
        <f>IF(OR(J27="", ISBLANK(J27)), NA(), J27/$E$27)</f>
        <v/>
      </c>
      <c r="K28" s="23">
        <f>IF(OR(K27="", ISBLANK(K27)), NA(), K27/$E$27)</f>
        <v/>
      </c>
      <c r="L28" s="23">
        <f>IF(OR(L27="", ISBLANK(L27)), NA(), L27/$E$27)</f>
        <v/>
      </c>
      <c r="M28" s="23">
        <f>IF(OR(M27="", ISBLANK(M27)), NA(), M27/$E$27)</f>
        <v/>
      </c>
      <c r="N28" s="23">
        <f>IF(OR(N27="", ISBLANK(N27)), NA(), N27/$E$27)</f>
        <v/>
      </c>
      <c r="O28" s="23">
        <f>IF(OR(O27="", ISBLANK(O27)), NA(), O27/$E$27)</f>
        <v/>
      </c>
      <c r="P28" s="23">
        <f>IF(OR(P27="", ISBLANK(P27)), NA(), P27/$E$27)</f>
        <v/>
      </c>
      <c r="Q28" s="23">
        <f>IF(OR(Q27="", ISBLANK(Q27)), NA(), Q27/$E$27)</f>
        <v/>
      </c>
      <c r="R28" s="23">
        <f>IF(OR(R27="", ISBLANK(R27)), NA(), R27/$E$27)</f>
        <v/>
      </c>
      <c r="S28" s="23">
        <f>IF(OR(S27="", ISBLANK(S27)), NA(), S27/$E$27)</f>
        <v/>
      </c>
      <c r="T28" s="23">
        <f>IF(OR(T27="", ISBLANK(T27)), NA(), T27/$E$27)</f>
        <v/>
      </c>
      <c r="U28" s="23">
        <f>IF(OR(U27="", ISBLANK(U27)), NA(), U27/$E$27)</f>
        <v/>
      </c>
      <c r="V28" s="23">
        <f>IF(OR(V27="", ISBLANK(V27)), NA(), V27/$E$27)</f>
        <v/>
      </c>
      <c r="W28" s="23">
        <f>IF(OR(W27="", ISBLANK(W27)), NA(), W27/$E$27)</f>
        <v/>
      </c>
      <c r="X28" s="23">
        <f>IF(OR(X27="", ISBLANK(X27)), NA(), X27/$E$27)</f>
        <v/>
      </c>
      <c r="Y28" s="23">
        <f>IF(OR(Y27="", ISBLANK(Y27)), NA(), Y27/$E$27)</f>
        <v/>
      </c>
      <c r="Z28" s="23">
        <f>IF(OR(Z27="", ISBLANK(Z27)), NA(), Z27/$E$27)</f>
        <v/>
      </c>
      <c r="AA28" s="23">
        <f>IF(OR(AA27="", ISBLANK(AA27)), NA(), AA27/$E$27)</f>
        <v/>
      </c>
      <c r="AB28" s="23">
        <f>IF(OR(AB27="", ISBLANK(AB27)), NA(), AB27/$E$27)</f>
        <v/>
      </c>
      <c r="AC28" s="23">
        <f>IF(OR(AC27="", ISBLANK(AC27)), NA(), AC27/$E$27)</f>
        <v/>
      </c>
      <c r="AD28" s="22" t="n"/>
    </row>
    <row r="29">
      <c r="A29" s="33" t="n"/>
      <c r="B29" s="37" t="inlineStr">
        <is>
          <t>Termination</t>
        </is>
      </c>
      <c r="C29" s="34" t="inlineStr">
        <is>
          <t>pts</t>
        </is>
      </c>
      <c r="D29" s="34" t="inlineStr">
        <is>
          <t>Cumulative Qty</t>
        </is>
      </c>
      <c r="E29" s="21">
        <f>SUM(E11,E17,E23)</f>
        <v/>
      </c>
      <c r="F29" s="21">
        <f>IF(COUNT(F11,F17,F23)&gt;0, SUM(F11,F17,F23), "")</f>
        <v/>
      </c>
      <c r="G29" s="21">
        <f>IF(COUNT(G11,G17,G23)&gt;0, SUM(G11,G17,G23), "")</f>
        <v/>
      </c>
      <c r="H29" s="21">
        <f>IF(COUNT(H11,H17,H23)&gt;0, SUM(H11,H17,H23), "")</f>
        <v/>
      </c>
      <c r="I29" s="21">
        <f>IF(COUNT(I11,I17,I23)&gt;0, SUM(I11,I17,I23), "")</f>
        <v/>
      </c>
      <c r="J29" s="21">
        <f>IF(COUNT(J11,J17,J23)&gt;0, SUM(J11,J17,J23), "")</f>
        <v/>
      </c>
      <c r="K29" s="21">
        <f>IF(COUNT(K11,K17,K23)&gt;0, SUM(K11,K17,K23), "")</f>
        <v/>
      </c>
      <c r="L29" s="21">
        <f>IF(COUNT(L11,L17,L23)&gt;0, SUM(L11,L17,L23), "")</f>
        <v/>
      </c>
      <c r="M29" s="21" t="n">
        <v>561</v>
      </c>
      <c r="N29" s="21">
        <f>IF(COUNT(N11,N17,N23)&gt;0, SUM(N11,N17,N23), "")</f>
        <v/>
      </c>
      <c r="O29" s="21">
        <f>IF(COUNT(O11,O17,O23)&gt;0, SUM(O11,O17,O23), "")</f>
        <v/>
      </c>
      <c r="P29" s="21">
        <f>IF(COUNT(P11,P17,P23)&gt;0, SUM(P11,P17,P23), "")</f>
        <v/>
      </c>
      <c r="Q29" s="21">
        <f>IF(COUNT(Q11,Q17,Q23)&gt;0, SUM(Q11,Q17,Q23), "")</f>
        <v/>
      </c>
      <c r="R29" s="21">
        <f>IF(COUNT(R11,R17,R23)&gt;0, SUM(R11,R17,R23), "")</f>
        <v/>
      </c>
      <c r="S29" s="21">
        <f>IF(COUNT(S11,S17,S23)&gt;0, SUM(S11,S17,S23), "")</f>
        <v/>
      </c>
      <c r="T29" s="21">
        <f>IF(COUNT(T11,T17,T23)&gt;0, SUM(T11,T17,T23), "")</f>
        <v/>
      </c>
      <c r="U29" s="21">
        <f>IF(COUNT(U11,U17,U23)&gt;0, SUM(U11,U17,U23), "")</f>
        <v/>
      </c>
      <c r="V29" s="21">
        <f>IF(COUNT(V11,V17,V23)&gt;0, SUM(V11,V17,V23), "")</f>
        <v/>
      </c>
      <c r="W29" s="21">
        <f>IF(COUNT(W11,W17,W23)&gt;0, SUM(W11,W17,W23), "")</f>
        <v/>
      </c>
      <c r="X29" s="21">
        <f>IF(COUNT(X11,X17,X23)&gt;0, SUM(X11,X17,X23), "")</f>
        <v/>
      </c>
      <c r="Y29" s="21">
        <f>IF(COUNT(Y11,Y17,Y23)&gt;0, SUM(Y11,Y17,Y23), "")</f>
        <v/>
      </c>
      <c r="Z29" s="21">
        <f>IF(COUNT(Z11,Z17,Z23)&gt;0, SUM(Z11,Z17,Z23), "")</f>
        <v/>
      </c>
      <c r="AA29" s="21">
        <f>IF(COUNT(AA11,AA17,AA23)&gt;0, SUM(AA11,AA17,AA23), "")</f>
        <v/>
      </c>
      <c r="AB29" s="21">
        <f>IF(COUNT(AB11,AB17,AB23)&gt;0, SUM(AB11,AB17,AB23), "")</f>
        <v/>
      </c>
      <c r="AC29" s="21">
        <f>IF(COUNT(AC11,AC17,AC23)&gt;0, SUM(AC11,AC17,AC23), "")</f>
        <v/>
      </c>
      <c r="AD29" s="22" t="n"/>
    </row>
    <row r="30">
      <c r="A30" s="29" t="n"/>
      <c r="B30" s="29" t="n"/>
      <c r="C30" s="29" t="n"/>
      <c r="D30" s="34" t="inlineStr">
        <is>
          <t>TOTAL PROJECT - Termination (%)</t>
        </is>
      </c>
      <c r="E30" s="23" t="n">
        <v>1</v>
      </c>
      <c r="F30" s="23">
        <f>IF(OR(F29="", ISBLANK(F29)), NA(), F29/$E$29)</f>
        <v/>
      </c>
      <c r="G30" s="23">
        <f>IF(OR(G29="", ISBLANK(G29)), NA(), G29/$E$29)</f>
        <v/>
      </c>
      <c r="H30" s="23">
        <f>IF(OR(H29="", ISBLANK(H29)), NA(), H29/$E$29)</f>
        <v/>
      </c>
      <c r="I30" s="23">
        <f>IF(OR(I29="", ISBLANK(I29)), NA(), I29/$E$29)</f>
        <v/>
      </c>
      <c r="J30" s="23">
        <f>IF(OR(J29="", ISBLANK(J29)), NA(), J29/$E$29)</f>
        <v/>
      </c>
      <c r="K30" s="23">
        <f>IF(OR(K29="", ISBLANK(K29)), NA(), K29/$E$29)</f>
        <v/>
      </c>
      <c r="L30" s="23">
        <f>IF(OR(L29="", ISBLANK(L29)), NA(), L29/$E$29)</f>
        <v/>
      </c>
      <c r="M30" s="23">
        <f>IF(OR(M29="", ISBLANK(M29)), NA(), M29/$E$29)</f>
        <v/>
      </c>
      <c r="N30" s="23">
        <f>IF(OR(N29="", ISBLANK(N29)), NA(), N29/$E$29)</f>
        <v/>
      </c>
      <c r="O30" s="23">
        <f>IF(OR(O29="", ISBLANK(O29)), NA(), O29/$E$29)</f>
        <v/>
      </c>
      <c r="P30" s="23">
        <f>IF(OR(P29="", ISBLANK(P29)), NA(), P29/$E$29)</f>
        <v/>
      </c>
      <c r="Q30" s="23">
        <f>IF(OR(Q29="", ISBLANK(Q29)), NA(), Q29/$E$29)</f>
        <v/>
      </c>
      <c r="R30" s="23">
        <f>IF(OR(R29="", ISBLANK(R29)), NA(), R29/$E$29)</f>
        <v/>
      </c>
      <c r="S30" s="23">
        <f>IF(OR(S29="", ISBLANK(S29)), NA(), S29/$E$29)</f>
        <v/>
      </c>
      <c r="T30" s="23">
        <f>IF(OR(T29="", ISBLANK(T29)), NA(), T29/$E$29)</f>
        <v/>
      </c>
      <c r="U30" s="23">
        <f>IF(OR(U29="", ISBLANK(U29)), NA(), U29/$E$29)</f>
        <v/>
      </c>
      <c r="V30" s="23">
        <f>IF(OR(V29="", ISBLANK(V29)), NA(), V29/$E$29)</f>
        <v/>
      </c>
      <c r="W30" s="23">
        <f>IF(OR(W29="", ISBLANK(W29)), NA(), W29/$E$29)</f>
        <v/>
      </c>
      <c r="X30" s="23">
        <f>IF(OR(X29="", ISBLANK(X29)), NA(), X29/$E$29)</f>
        <v/>
      </c>
      <c r="Y30" s="23">
        <f>IF(OR(Y29="", ISBLANK(Y29)), NA(), Y29/$E$29)</f>
        <v/>
      </c>
      <c r="Z30" s="23">
        <f>IF(OR(Z29="", ISBLANK(Z29)), NA(), Z29/$E$29)</f>
        <v/>
      </c>
      <c r="AA30" s="23">
        <f>IF(OR(AA29="", ISBLANK(AA29)), NA(), AA29/$E$29)</f>
        <v/>
      </c>
      <c r="AB30" s="23">
        <f>IF(OR(AB29="", ISBLANK(AB29)), NA(), AB29/$E$29)</f>
        <v/>
      </c>
      <c r="AC30" s="23">
        <f>IF(OR(AC29="", ISBLANK(AC29)), NA(), AC29/$E$29)</f>
        <v/>
      </c>
      <c r="AD30" s="22" t="n"/>
    </row>
  </sheetData>
  <mergeCells count="35">
    <mergeCell ref="E5:E6"/>
    <mergeCell ref="B27:B28"/>
    <mergeCell ref="C29:C30"/>
    <mergeCell ref="B17:B18"/>
    <mergeCell ref="B11:B12"/>
    <mergeCell ref="B29:B30"/>
    <mergeCell ref="C9:C10"/>
    <mergeCell ref="B23:B24"/>
    <mergeCell ref="B13:B14"/>
    <mergeCell ref="A7:A12"/>
    <mergeCell ref="C25:C26"/>
    <mergeCell ref="A25:A30"/>
    <mergeCell ref="C21:C22"/>
    <mergeCell ref="C11:C12"/>
    <mergeCell ref="B19:B20"/>
    <mergeCell ref="B15:B16"/>
    <mergeCell ref="A1:AD2"/>
    <mergeCell ref="A5:A6"/>
    <mergeCell ref="B9:B10"/>
    <mergeCell ref="C23:C24"/>
    <mergeCell ref="C17:C18"/>
    <mergeCell ref="AD5:AD6"/>
    <mergeCell ref="C27:C28"/>
    <mergeCell ref="C7:C8"/>
    <mergeCell ref="B5:B6"/>
    <mergeCell ref="C13:C14"/>
    <mergeCell ref="D5:D6"/>
    <mergeCell ref="C19:C20"/>
    <mergeCell ref="A13:A18"/>
    <mergeCell ref="B7:B8"/>
    <mergeCell ref="B25:B26"/>
    <mergeCell ref="C15:C16"/>
    <mergeCell ref="A19:A24"/>
    <mergeCell ref="B21:B22"/>
    <mergeCell ref="C5:C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"/>
  <sheetViews>
    <sheetView zoomScale="85" zoomScaleNormal="85" workbookViewId="0">
      <selection activeCell="K29" sqref="K29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26.28515625" bestFit="1" customWidth="1" min="4" max="4"/>
    <col width="8.5703125" bestFit="1" customWidth="1" min="5" max="5"/>
    <col width="12" customWidth="1" min="6" max="29"/>
  </cols>
  <sheetData>
    <row r="1">
      <c r="A1" s="26" t="inlineStr">
        <is>
          <t>BÁO CÁO TIẾN ĐỘ THI CÔNG HỆ THỐNG ĐIỆN C459 - 24 TUẦN (W37 - W08)</t>
        </is>
      </c>
    </row>
    <row r="2"/>
    <row r="3">
      <c r="A3" s="1" t="inlineStr">
        <is>
          <t>Khối lượng thực hiện hàng tuần và tỷ lệ tiến độ của 3 nhà thầu (HDC, NAUTICS, ST) và toàn dự án</t>
        </is>
      </c>
    </row>
    <row r="5">
      <c r="A5" s="25" t="inlineStr">
        <is>
          <t>Nhà thầu</t>
        </is>
      </c>
      <c r="B5" s="25" t="inlineStr">
        <is>
          <t>Hạng mục công việc</t>
        </is>
      </c>
      <c r="C5" s="25" t="inlineStr">
        <is>
          <t>Đơn vị</t>
        </is>
      </c>
      <c r="D5" s="25" t="inlineStr">
        <is>
          <t>Chỉ tiêu</t>
        </is>
      </c>
      <c r="E5" s="25" t="inlineStr">
        <is>
          <t>Kế hoạch tổng</t>
        </is>
      </c>
      <c r="F5" s="25" t="inlineStr">
        <is>
          <t>W37</t>
        </is>
      </c>
      <c r="G5" s="25" t="inlineStr">
        <is>
          <t>W38</t>
        </is>
      </c>
      <c r="H5" s="25" t="inlineStr">
        <is>
          <t>W39</t>
        </is>
      </c>
      <c r="I5" s="25" t="inlineStr">
        <is>
          <t>W40</t>
        </is>
      </c>
      <c r="J5" s="25" t="inlineStr">
        <is>
          <t>W41</t>
        </is>
      </c>
      <c r="K5" s="25" t="inlineStr">
        <is>
          <t>W42</t>
        </is>
      </c>
      <c r="L5" s="25" t="inlineStr">
        <is>
          <t>W43</t>
        </is>
      </c>
      <c r="M5" s="25" t="inlineStr">
        <is>
          <t>W44</t>
        </is>
      </c>
      <c r="N5" s="25" t="inlineStr">
        <is>
          <t>W45</t>
        </is>
      </c>
      <c r="O5" s="25" t="inlineStr">
        <is>
          <t>W46</t>
        </is>
      </c>
      <c r="P5" s="25" t="inlineStr">
        <is>
          <t>W47</t>
        </is>
      </c>
      <c r="Q5" s="25" t="inlineStr">
        <is>
          <t>W48</t>
        </is>
      </c>
      <c r="R5" s="25" t="inlineStr">
        <is>
          <t>W49</t>
        </is>
      </c>
      <c r="S5" s="25" t="inlineStr">
        <is>
          <t>W50</t>
        </is>
      </c>
      <c r="T5" s="25" t="inlineStr">
        <is>
          <t>W51</t>
        </is>
      </c>
      <c r="U5" s="25" t="inlineStr">
        <is>
          <t>W52</t>
        </is>
      </c>
      <c r="V5" s="25" t="inlineStr">
        <is>
          <t>W01</t>
        </is>
      </c>
      <c r="W5" s="25" t="inlineStr">
        <is>
          <t>W02</t>
        </is>
      </c>
      <c r="X5" s="25" t="inlineStr">
        <is>
          <t>W03</t>
        </is>
      </c>
      <c r="Y5" s="25" t="inlineStr">
        <is>
          <t>W04</t>
        </is>
      </c>
      <c r="Z5" s="25" t="inlineStr">
        <is>
          <t>W05</t>
        </is>
      </c>
      <c r="AA5" s="25" t="inlineStr">
        <is>
          <t>W06</t>
        </is>
      </c>
      <c r="AB5" s="25" t="inlineStr">
        <is>
          <t>W07</t>
        </is>
      </c>
      <c r="AC5" s="25" t="inlineStr">
        <is>
          <t>W08</t>
        </is>
      </c>
      <c r="AD5" s="25" t="inlineStr">
        <is>
          <t>Ghi chú</t>
        </is>
      </c>
    </row>
    <row r="6" ht="25.5" customHeight="1">
      <c r="A6" s="29" t="n"/>
      <c r="B6" s="29" t="n"/>
      <c r="C6" s="29" t="n"/>
      <c r="D6" s="29" t="n"/>
      <c r="E6" s="29" t="n"/>
      <c r="F6" s="25" t="inlineStr">
        <is>
          <t>Khối lượng / % lũy kế</t>
        </is>
      </c>
      <c r="G6" s="25" t="inlineStr">
        <is>
          <t>Khối lượng / % lũy kế</t>
        </is>
      </c>
      <c r="H6" s="25" t="inlineStr">
        <is>
          <t>Khối lượng / % lũy kế</t>
        </is>
      </c>
      <c r="I6" s="25" t="inlineStr">
        <is>
          <t>Khối lượng / % lũy kế</t>
        </is>
      </c>
      <c r="J6" s="25" t="inlineStr">
        <is>
          <t>Khối lượng / % lũy kế</t>
        </is>
      </c>
      <c r="K6" s="25" t="inlineStr">
        <is>
          <t>Khối lượng / % lũy kế</t>
        </is>
      </c>
      <c r="L6" s="25" t="inlineStr">
        <is>
          <t>Khối lượng / % lũy kế</t>
        </is>
      </c>
      <c r="M6" s="25" t="inlineStr">
        <is>
          <t>Khối lượng / % lũy kế</t>
        </is>
      </c>
      <c r="N6" s="25" t="inlineStr">
        <is>
          <t>Khối lượng / % lũy kế</t>
        </is>
      </c>
      <c r="O6" s="25" t="inlineStr">
        <is>
          <t>Khối lượng / % lũy kế</t>
        </is>
      </c>
      <c r="P6" s="25" t="inlineStr">
        <is>
          <t>Khối lượng / % lũy kế</t>
        </is>
      </c>
      <c r="Q6" s="25" t="inlineStr">
        <is>
          <t>Khối lượng / % lũy kế</t>
        </is>
      </c>
      <c r="R6" s="25" t="inlineStr">
        <is>
          <t>Khối lượng / % lũy kế</t>
        </is>
      </c>
      <c r="S6" s="25" t="inlineStr">
        <is>
          <t>Khối lượng / % lũy kế</t>
        </is>
      </c>
      <c r="T6" s="25" t="inlineStr">
        <is>
          <t>Khối lượng / % lũy kế</t>
        </is>
      </c>
      <c r="U6" s="25" t="inlineStr">
        <is>
          <t>Khối lượng / % lũy kế</t>
        </is>
      </c>
      <c r="V6" s="25" t="inlineStr">
        <is>
          <t>Khối lượng / % lũy kế</t>
        </is>
      </c>
      <c r="W6" s="25" t="inlineStr">
        <is>
          <t>Khối lượng / % lũy kế</t>
        </is>
      </c>
      <c r="X6" s="25" t="inlineStr">
        <is>
          <t>Khối lượng / % lũy kế</t>
        </is>
      </c>
      <c r="Y6" s="25" t="inlineStr">
        <is>
          <t>Khối lượng / % lũy kế</t>
        </is>
      </c>
      <c r="Z6" s="25" t="inlineStr">
        <is>
          <t>Khối lượng / % lũy kế</t>
        </is>
      </c>
      <c r="AA6" s="25" t="inlineStr">
        <is>
          <t>Khối lượng / % lũy kế</t>
        </is>
      </c>
      <c r="AB6" s="25" t="inlineStr">
        <is>
          <t>Khối lượng / % lũy kế</t>
        </is>
      </c>
      <c r="AC6" s="25" t="inlineStr">
        <is>
          <t>Khối lượng / % lũy kế</t>
        </is>
      </c>
      <c r="AD6" s="29" t="n"/>
    </row>
    <row r="7">
      <c r="A7" s="32" t="inlineStr">
        <is>
          <t>HDC</t>
        </is>
      </c>
      <c r="B7" s="28" t="inlineStr">
        <is>
          <t>Cắt cáp</t>
        </is>
      </c>
      <c r="C7" s="32" t="inlineStr">
        <is>
          <t>m</t>
        </is>
      </c>
      <c r="D7" s="32" t="inlineStr">
        <is>
          <t>Khối lượng lũy kế</t>
        </is>
      </c>
      <c r="E7" s="3">
        <f>IF('Electrical Progress'!E7="","",'Electrical Progress'!E7)</f>
        <v/>
      </c>
      <c r="F7" s="3">
        <f>IF('Electrical Progress'!F7="","",'Electrical Progress'!F7)</f>
        <v/>
      </c>
      <c r="G7" s="3">
        <f>IF('Electrical Progress'!G7="","",'Electrical Progress'!G7)</f>
        <v/>
      </c>
      <c r="H7" s="3">
        <f>IF('Electrical Progress'!H7="","",'Electrical Progress'!H7)</f>
        <v/>
      </c>
      <c r="I7" s="3">
        <f>IF('Electrical Progress'!I7="","",'Electrical Progress'!I7)</f>
        <v/>
      </c>
      <c r="J7" s="4">
        <f>IF('Electrical Progress'!J7="","",'Electrical Progress'!J7)</f>
        <v/>
      </c>
      <c r="K7" s="4">
        <f>IF('Electrical Progress'!K7="","",'Electrical Progress'!K7)</f>
        <v/>
      </c>
      <c r="L7" s="4">
        <f>IF('Electrical Progress'!L7="","",'Electrical Progress'!L7)</f>
        <v/>
      </c>
      <c r="M7" s="4" t="n">
        <v>29864</v>
      </c>
      <c r="N7" s="4">
        <f>IF('Electrical Progress'!N7="","",'Electrical Progress'!N7)</f>
        <v/>
      </c>
      <c r="O7" s="4">
        <f>IF('Electrical Progress'!O7="","",'Electrical Progress'!O7)</f>
        <v/>
      </c>
      <c r="P7" s="4">
        <f>IF('Electrical Progress'!P7="","",'Electrical Progress'!P7)</f>
        <v/>
      </c>
      <c r="Q7" s="4">
        <f>IF('Electrical Progress'!Q7="","",'Electrical Progress'!Q7)</f>
        <v/>
      </c>
      <c r="R7" s="4">
        <f>IF('Electrical Progress'!R7="","",'Electrical Progress'!R7)</f>
        <v/>
      </c>
      <c r="S7" s="4">
        <f>IF('Electrical Progress'!S7="","",'Electrical Progress'!S7)</f>
        <v/>
      </c>
      <c r="T7" s="4">
        <f>IF('Electrical Progress'!T7="","",'Electrical Progress'!T7)</f>
        <v/>
      </c>
      <c r="U7" s="4">
        <f>IF('Electrical Progress'!U7="","",'Electrical Progress'!U7)</f>
        <v/>
      </c>
      <c r="V7" s="4">
        <f>IF('Electrical Progress'!V7="","",'Electrical Progress'!V7)</f>
        <v/>
      </c>
      <c r="W7" s="4">
        <f>IF('Electrical Progress'!W7="","",'Electrical Progress'!W7)</f>
        <v/>
      </c>
      <c r="X7" s="4">
        <f>IF('Electrical Progress'!X7="","",'Electrical Progress'!X7)</f>
        <v/>
      </c>
      <c r="Y7" s="4">
        <f>IF('Electrical Progress'!Y7="","",'Electrical Progress'!Y7)</f>
        <v/>
      </c>
      <c r="Z7" s="4">
        <f>IF('Electrical Progress'!Z7="","",'Electrical Progress'!Z7)</f>
        <v/>
      </c>
      <c r="AA7" s="4">
        <f>IF('Electrical Progress'!AA7="","",'Electrical Progress'!AA7)</f>
        <v/>
      </c>
      <c r="AB7" s="4">
        <f>IF('Electrical Progress'!AB7="","",'Electrical Progress'!AB7)</f>
        <v/>
      </c>
      <c r="AC7" s="4">
        <f>IF('Electrical Progress'!AC7="","",'Electrical Progress'!AC7)</f>
        <v/>
      </c>
      <c r="AD7" s="5" t="n"/>
    </row>
    <row r="8">
      <c r="A8" s="33" t="n"/>
      <c r="B8" s="29" t="n"/>
      <c r="C8" s="29" t="n"/>
      <c r="D8" s="6" t="inlineStr">
        <is>
          <t>HDC - Cắt cáp (%)</t>
        </is>
      </c>
      <c r="E8" s="7">
        <f>IF('Electrical Progress'!E8="","",'Electrical Progress'!E8)</f>
        <v/>
      </c>
      <c r="F8" s="7">
        <f>IF('Electrical Progress'!F8="","",'Electrical Progress'!F8)</f>
        <v/>
      </c>
      <c r="G8" s="7">
        <f>IF('Electrical Progress'!G8="","",'Electrical Progress'!G8)</f>
        <v/>
      </c>
      <c r="H8" s="7">
        <f>IF('Electrical Progress'!H8="","",'Electrical Progress'!H8)</f>
        <v/>
      </c>
      <c r="I8" s="7">
        <f>IF('Electrical Progress'!I8="","",'Electrical Progress'!I8)</f>
        <v/>
      </c>
      <c r="J8" s="7">
        <f>IF('Electrical Progress'!J8="","",'Electrical Progress'!J8)</f>
        <v/>
      </c>
      <c r="K8" s="7">
        <f>IF('Electrical Progress'!K8="","",'Electrical Progress'!K8)</f>
        <v/>
      </c>
      <c r="L8" s="7">
        <f>IF('Electrical Progress'!L8="","",'Electrical Progress'!L8)</f>
        <v/>
      </c>
      <c r="M8" s="7">
        <f>IF('Electrical Progress'!M8="","",'Electrical Progress'!M8)</f>
        <v/>
      </c>
      <c r="N8" s="7">
        <f>IF('Electrical Progress'!N8="","",'Electrical Progress'!N8)</f>
        <v/>
      </c>
      <c r="O8" s="7">
        <f>IF('Electrical Progress'!O8="","",'Electrical Progress'!O8)</f>
        <v/>
      </c>
      <c r="P8" s="7">
        <f>IF('Electrical Progress'!P8="","",'Electrical Progress'!P8)</f>
        <v/>
      </c>
      <c r="Q8" s="7">
        <f>IF('Electrical Progress'!Q8="","",'Electrical Progress'!Q8)</f>
        <v/>
      </c>
      <c r="R8" s="7">
        <f>IF('Electrical Progress'!R8="","",'Electrical Progress'!R8)</f>
        <v/>
      </c>
      <c r="S8" s="7">
        <f>IF('Electrical Progress'!S8="","",'Electrical Progress'!S8)</f>
        <v/>
      </c>
      <c r="T8" s="7">
        <f>IF('Electrical Progress'!T8="","",'Electrical Progress'!T8)</f>
        <v/>
      </c>
      <c r="U8" s="7">
        <f>IF('Electrical Progress'!U8="","",'Electrical Progress'!U8)</f>
        <v/>
      </c>
      <c r="V8" s="7">
        <f>IF('Electrical Progress'!V8="","",'Electrical Progress'!V8)</f>
        <v/>
      </c>
      <c r="W8" s="7">
        <f>IF('Electrical Progress'!W8="","",'Electrical Progress'!W8)</f>
        <v/>
      </c>
      <c r="X8" s="7">
        <f>IF('Electrical Progress'!X8="","",'Electrical Progress'!X8)</f>
        <v/>
      </c>
      <c r="Y8" s="7">
        <f>IF('Electrical Progress'!Y8="","",'Electrical Progress'!Y8)</f>
        <v/>
      </c>
      <c r="Z8" s="7">
        <f>IF('Electrical Progress'!Z8="","",'Electrical Progress'!Z8)</f>
        <v/>
      </c>
      <c r="AA8" s="7">
        <f>IF('Electrical Progress'!AA8="","",'Electrical Progress'!AA8)</f>
        <v/>
      </c>
      <c r="AB8" s="7">
        <f>IF('Electrical Progress'!AB8="","",'Electrical Progress'!AB8)</f>
        <v/>
      </c>
      <c r="AC8" s="7">
        <f>IF('Electrical Progress'!AC8="","",'Electrical Progress'!AC8)</f>
        <v/>
      </c>
      <c r="AD8" s="5" t="n"/>
    </row>
    <row r="9">
      <c r="A9" s="33" t="n"/>
      <c r="B9" s="28" t="inlineStr">
        <is>
          <t>Kéo cáp</t>
        </is>
      </c>
      <c r="C9" s="32" t="inlineStr">
        <is>
          <t>m</t>
        </is>
      </c>
      <c r="D9" s="32" t="inlineStr">
        <is>
          <t>Khối lượng lũy kế</t>
        </is>
      </c>
      <c r="E9" s="3">
        <f>IF('Electrical Progress'!E9="","",'Electrical Progress'!E9)</f>
        <v/>
      </c>
      <c r="F9" s="3">
        <f>IF('Electrical Progress'!F9="","",'Electrical Progress'!F9)</f>
        <v/>
      </c>
      <c r="G9" s="3">
        <f>IF('Electrical Progress'!G9="","",'Electrical Progress'!G9)</f>
        <v/>
      </c>
      <c r="H9" s="3">
        <f>IF('Electrical Progress'!H9="","",'Electrical Progress'!H9)</f>
        <v/>
      </c>
      <c r="I9" s="3">
        <f>IF('Electrical Progress'!I9="","",'Electrical Progress'!I9)</f>
        <v/>
      </c>
      <c r="J9" s="4">
        <f>IF('Electrical Progress'!J9="","",'Electrical Progress'!J9)</f>
        <v/>
      </c>
      <c r="K9" s="4">
        <f>IF('Electrical Progress'!K9="","",'Electrical Progress'!K9)</f>
        <v/>
      </c>
      <c r="L9" s="4">
        <f>IF('Electrical Progress'!L9="","",'Electrical Progress'!L9)</f>
        <v/>
      </c>
      <c r="M9" s="4" t="n">
        <v>24906</v>
      </c>
      <c r="N9" s="4">
        <f>IF('Electrical Progress'!N9="","",'Electrical Progress'!N9)</f>
        <v/>
      </c>
      <c r="O9" s="4">
        <f>IF('Electrical Progress'!O9="","",'Electrical Progress'!O9)</f>
        <v/>
      </c>
      <c r="P9" s="4">
        <f>IF('Electrical Progress'!P9="","",'Electrical Progress'!P9)</f>
        <v/>
      </c>
      <c r="Q9" s="4">
        <f>IF('Electrical Progress'!Q9="","",'Electrical Progress'!Q9)</f>
        <v/>
      </c>
      <c r="R9" s="4">
        <f>IF('Electrical Progress'!R9="","",'Electrical Progress'!R9)</f>
        <v/>
      </c>
      <c r="S9" s="4">
        <f>IF('Electrical Progress'!S9="","",'Electrical Progress'!S9)</f>
        <v/>
      </c>
      <c r="T9" s="4">
        <f>IF('Electrical Progress'!T9="","",'Electrical Progress'!T9)</f>
        <v/>
      </c>
      <c r="U9" s="4">
        <f>IF('Electrical Progress'!U9="","",'Electrical Progress'!U9)</f>
        <v/>
      </c>
      <c r="V9" s="4">
        <f>IF('Electrical Progress'!V9="","",'Electrical Progress'!V9)</f>
        <v/>
      </c>
      <c r="W9" s="4">
        <f>IF('Electrical Progress'!W9="","",'Electrical Progress'!W9)</f>
        <v/>
      </c>
      <c r="X9" s="4">
        <f>IF('Electrical Progress'!X9="","",'Electrical Progress'!X9)</f>
        <v/>
      </c>
      <c r="Y9" s="4">
        <f>IF('Electrical Progress'!Y9="","",'Electrical Progress'!Y9)</f>
        <v/>
      </c>
      <c r="Z9" s="4">
        <f>IF('Electrical Progress'!Z9="","",'Electrical Progress'!Z9)</f>
        <v/>
      </c>
      <c r="AA9" s="4">
        <f>IF('Electrical Progress'!AA9="","",'Electrical Progress'!AA9)</f>
        <v/>
      </c>
      <c r="AB9" s="4">
        <f>IF('Electrical Progress'!AB9="","",'Electrical Progress'!AB9)</f>
        <v/>
      </c>
      <c r="AC9" s="4">
        <f>IF('Electrical Progress'!AC9="","",'Electrical Progress'!AC9)</f>
        <v/>
      </c>
      <c r="AD9" s="5" t="n"/>
    </row>
    <row r="10">
      <c r="A10" s="33" t="n"/>
      <c r="B10" s="29" t="n"/>
      <c r="C10" s="29" t="n"/>
      <c r="D10" s="6" t="inlineStr">
        <is>
          <t>HDC - Kéo cáp (%)</t>
        </is>
      </c>
      <c r="E10" s="7">
        <f>IF('Electrical Progress'!E10="","",'Electrical Progress'!E10)</f>
        <v/>
      </c>
      <c r="F10" s="7">
        <f>IF('Electrical Progress'!F10="","",'Electrical Progress'!F10)</f>
        <v/>
      </c>
      <c r="G10" s="7">
        <f>IF('Electrical Progress'!G10="","",'Electrical Progress'!G10)</f>
        <v/>
      </c>
      <c r="H10" s="7">
        <f>IF('Electrical Progress'!H10="","",'Electrical Progress'!H10)</f>
        <v/>
      </c>
      <c r="I10" s="7">
        <f>IF('Electrical Progress'!I10="","",'Electrical Progress'!I10)</f>
        <v/>
      </c>
      <c r="J10" s="7">
        <f>IF('Electrical Progress'!J10="","",'Electrical Progress'!J10)</f>
        <v/>
      </c>
      <c r="K10" s="7">
        <f>IF('Electrical Progress'!K10="","",'Electrical Progress'!K10)</f>
        <v/>
      </c>
      <c r="L10" s="7">
        <f>IF('Electrical Progress'!L10="","",'Electrical Progress'!L10)</f>
        <v/>
      </c>
      <c r="M10" s="7">
        <f>IF('Electrical Progress'!M10="","",'Electrical Progress'!M10)</f>
        <v/>
      </c>
      <c r="N10" s="7">
        <f>IF('Electrical Progress'!N10="","",'Electrical Progress'!N10)</f>
        <v/>
      </c>
      <c r="O10" s="7">
        <f>IF('Electrical Progress'!O10="","",'Electrical Progress'!O10)</f>
        <v/>
      </c>
      <c r="P10" s="7">
        <f>IF('Electrical Progress'!P10="","",'Electrical Progress'!P10)</f>
        <v/>
      </c>
      <c r="Q10" s="7">
        <f>IF('Electrical Progress'!Q10="","",'Electrical Progress'!Q10)</f>
        <v/>
      </c>
      <c r="R10" s="7">
        <f>IF('Electrical Progress'!R10="","",'Electrical Progress'!R10)</f>
        <v/>
      </c>
      <c r="S10" s="7">
        <f>IF('Electrical Progress'!S10="","",'Electrical Progress'!S10)</f>
        <v/>
      </c>
      <c r="T10" s="7">
        <f>IF('Electrical Progress'!T10="","",'Electrical Progress'!T10)</f>
        <v/>
      </c>
      <c r="U10" s="7">
        <f>IF('Electrical Progress'!U10="","",'Electrical Progress'!U10)</f>
        <v/>
      </c>
      <c r="V10" s="7">
        <f>IF('Electrical Progress'!V10="","",'Electrical Progress'!V10)</f>
        <v/>
      </c>
      <c r="W10" s="7">
        <f>IF('Electrical Progress'!W10="","",'Electrical Progress'!W10)</f>
        <v/>
      </c>
      <c r="X10" s="7">
        <f>IF('Electrical Progress'!X10="","",'Electrical Progress'!X10)</f>
        <v/>
      </c>
      <c r="Y10" s="7">
        <f>IF('Electrical Progress'!Y10="","",'Electrical Progress'!Y10)</f>
        <v/>
      </c>
      <c r="Z10" s="7">
        <f>IF('Electrical Progress'!Z10="","",'Electrical Progress'!Z10)</f>
        <v/>
      </c>
      <c r="AA10" s="7">
        <f>IF('Electrical Progress'!AA10="","",'Electrical Progress'!AA10)</f>
        <v/>
      </c>
      <c r="AB10" s="7">
        <f>IF('Electrical Progress'!AB10="","",'Electrical Progress'!AB10)</f>
        <v/>
      </c>
      <c r="AC10" s="7">
        <f>IF('Electrical Progress'!AC10="","",'Electrical Progress'!AC10)</f>
        <v/>
      </c>
      <c r="AD10" s="5" t="n"/>
    </row>
    <row r="11">
      <c r="A11" s="33" t="n"/>
      <c r="B11" s="28" t="inlineStr">
        <is>
          <t>Đấu nối</t>
        </is>
      </c>
      <c r="C11" s="32" t="inlineStr">
        <is>
          <t>điểm</t>
        </is>
      </c>
      <c r="D11" s="32" t="inlineStr">
        <is>
          <t>Khối lượng lũy kế</t>
        </is>
      </c>
      <c r="E11" s="3">
        <f>IF('Electrical Progress'!E11="","",'Electrical Progress'!E11)</f>
        <v/>
      </c>
      <c r="F11" s="3">
        <f>IF('Electrical Progress'!F11="","",'Electrical Progress'!F11)</f>
        <v/>
      </c>
      <c r="G11" s="3">
        <f>IF('Electrical Progress'!G11="","",'Electrical Progress'!G11)</f>
        <v/>
      </c>
      <c r="H11" s="3">
        <f>IF('Electrical Progress'!H11="","",'Electrical Progress'!H11)</f>
        <v/>
      </c>
      <c r="I11" s="3">
        <f>IF('Electrical Progress'!I11="","",'Electrical Progress'!I11)</f>
        <v/>
      </c>
      <c r="J11" s="4">
        <f>IF('Electrical Progress'!J11="","",'Electrical Progress'!J11)</f>
        <v/>
      </c>
      <c r="K11" s="4">
        <f>IF('Electrical Progress'!K11="","",'Electrical Progress'!K11)</f>
        <v/>
      </c>
      <c r="L11" s="4">
        <f>IF('Electrical Progress'!L11="","",'Electrical Progress'!L11)</f>
        <v/>
      </c>
      <c r="M11" s="4" t="n">
        <v>354</v>
      </c>
      <c r="N11" s="4">
        <f>IF('Electrical Progress'!N11="","",'Electrical Progress'!N11)</f>
        <v/>
      </c>
      <c r="O11" s="4">
        <f>IF('Electrical Progress'!O11="","",'Electrical Progress'!O11)</f>
        <v/>
      </c>
      <c r="P11" s="4">
        <f>IF('Electrical Progress'!P11="","",'Electrical Progress'!P11)</f>
        <v/>
      </c>
      <c r="Q11" s="4">
        <f>IF('Electrical Progress'!Q11="","",'Electrical Progress'!Q11)</f>
        <v/>
      </c>
      <c r="R11" s="4">
        <f>IF('Electrical Progress'!R11="","",'Electrical Progress'!R11)</f>
        <v/>
      </c>
      <c r="S11" s="4">
        <f>IF('Electrical Progress'!S11="","",'Electrical Progress'!S11)</f>
        <v/>
      </c>
      <c r="T11" s="4">
        <f>IF('Electrical Progress'!T11="","",'Electrical Progress'!T11)</f>
        <v/>
      </c>
      <c r="U11" s="4">
        <f>IF('Electrical Progress'!U11="","",'Electrical Progress'!U11)</f>
        <v/>
      </c>
      <c r="V11" s="4">
        <f>IF('Electrical Progress'!V11="","",'Electrical Progress'!V11)</f>
        <v/>
      </c>
      <c r="W11" s="4">
        <f>IF('Electrical Progress'!W11="","",'Electrical Progress'!W11)</f>
        <v/>
      </c>
      <c r="X11" s="4">
        <f>IF('Electrical Progress'!X11="","",'Electrical Progress'!X11)</f>
        <v/>
      </c>
      <c r="Y11" s="4">
        <f>IF('Electrical Progress'!Y11="","",'Electrical Progress'!Y11)</f>
        <v/>
      </c>
      <c r="Z11" s="4">
        <f>IF('Electrical Progress'!Z11="","",'Electrical Progress'!Z11)</f>
        <v/>
      </c>
      <c r="AA11" s="4">
        <f>IF('Electrical Progress'!AA11="","",'Electrical Progress'!AA11)</f>
        <v/>
      </c>
      <c r="AB11" s="4">
        <f>IF('Electrical Progress'!AB11="","",'Electrical Progress'!AB11)</f>
        <v/>
      </c>
      <c r="AC11" s="4">
        <f>IF('Electrical Progress'!AC11="","",'Electrical Progress'!AC11)</f>
        <v/>
      </c>
      <c r="AD11" s="5" t="n"/>
    </row>
    <row r="12">
      <c r="A12" s="29" t="n"/>
      <c r="B12" s="29" t="n"/>
      <c r="C12" s="29" t="n"/>
      <c r="D12" s="6" t="inlineStr">
        <is>
          <t>HDC - Đấu nối (%)</t>
        </is>
      </c>
      <c r="E12" s="7">
        <f>IF('Electrical Progress'!E12="","",'Electrical Progress'!E12)</f>
        <v/>
      </c>
      <c r="F12" s="7">
        <f>IF('Electrical Progress'!F12="","",'Electrical Progress'!F12)</f>
        <v/>
      </c>
      <c r="G12" s="7">
        <f>IF('Electrical Progress'!G12="","",'Electrical Progress'!G12)</f>
        <v/>
      </c>
      <c r="H12" s="7">
        <f>IF('Electrical Progress'!H12="","",'Electrical Progress'!H12)</f>
        <v/>
      </c>
      <c r="I12" s="7">
        <f>IF('Electrical Progress'!I12="","",'Electrical Progress'!I12)</f>
        <v/>
      </c>
      <c r="J12" s="7">
        <f>IF('Electrical Progress'!J12="","",'Electrical Progress'!J12)</f>
        <v/>
      </c>
      <c r="K12" s="7">
        <f>IF('Electrical Progress'!K12="","",'Electrical Progress'!K12)</f>
        <v/>
      </c>
      <c r="L12" s="7">
        <f>IF('Electrical Progress'!L12="","",'Electrical Progress'!L12)</f>
        <v/>
      </c>
      <c r="M12" s="7">
        <f>IF('Electrical Progress'!M12="","",'Electrical Progress'!M12)</f>
        <v/>
      </c>
      <c r="N12" s="7">
        <f>IF('Electrical Progress'!N12="","",'Electrical Progress'!N12)</f>
        <v/>
      </c>
      <c r="O12" s="7">
        <f>IF('Electrical Progress'!O12="","",'Electrical Progress'!O12)</f>
        <v/>
      </c>
      <c r="P12" s="7">
        <f>IF('Electrical Progress'!P12="","",'Electrical Progress'!P12)</f>
        <v/>
      </c>
      <c r="Q12" s="7">
        <f>IF('Electrical Progress'!Q12="","",'Electrical Progress'!Q12)</f>
        <v/>
      </c>
      <c r="R12" s="7">
        <f>IF('Electrical Progress'!R12="","",'Electrical Progress'!R12)</f>
        <v/>
      </c>
      <c r="S12" s="7">
        <f>IF('Electrical Progress'!S12="","",'Electrical Progress'!S12)</f>
        <v/>
      </c>
      <c r="T12" s="7">
        <f>IF('Electrical Progress'!T12="","",'Electrical Progress'!T12)</f>
        <v/>
      </c>
      <c r="U12" s="7">
        <f>IF('Electrical Progress'!U12="","",'Electrical Progress'!U12)</f>
        <v/>
      </c>
      <c r="V12" s="7">
        <f>IF('Electrical Progress'!V12="","",'Electrical Progress'!V12)</f>
        <v/>
      </c>
      <c r="W12" s="7">
        <f>IF('Electrical Progress'!W12="","",'Electrical Progress'!W12)</f>
        <v/>
      </c>
      <c r="X12" s="7">
        <f>IF('Electrical Progress'!X12="","",'Electrical Progress'!X12)</f>
        <v/>
      </c>
      <c r="Y12" s="7">
        <f>IF('Electrical Progress'!Y12="","",'Electrical Progress'!Y12)</f>
        <v/>
      </c>
      <c r="Z12" s="7">
        <f>IF('Electrical Progress'!Z12="","",'Electrical Progress'!Z12)</f>
        <v/>
      </c>
      <c r="AA12" s="7">
        <f>IF('Electrical Progress'!AA12="","",'Electrical Progress'!AA12)</f>
        <v/>
      </c>
      <c r="AB12" s="7">
        <f>IF('Electrical Progress'!AB12="","",'Electrical Progress'!AB12)</f>
        <v/>
      </c>
      <c r="AC12" s="7">
        <f>IF('Electrical Progress'!AC12="","",'Electrical Progress'!AC12)</f>
        <v/>
      </c>
      <c r="AD12" s="5" t="n"/>
    </row>
    <row r="13">
      <c r="A13" s="31" t="inlineStr">
        <is>
          <t>NAUTICS</t>
        </is>
      </c>
      <c r="B13" s="36" t="inlineStr">
        <is>
          <t>Cắt cáp</t>
        </is>
      </c>
      <c r="C13" s="31" t="inlineStr">
        <is>
          <t>m</t>
        </is>
      </c>
      <c r="D13" s="31" t="inlineStr">
        <is>
          <t>Khối lượng lũy kế</t>
        </is>
      </c>
      <c r="E13" s="9">
        <f>IF('Electrical Progress'!E13="","",'Electrical Progress'!E13)</f>
        <v/>
      </c>
      <c r="F13" s="9">
        <f>IF('Electrical Progress'!F13="","",'Electrical Progress'!F13)</f>
        <v/>
      </c>
      <c r="G13" s="9">
        <f>IF('Electrical Progress'!G13="","",'Electrical Progress'!G13)</f>
        <v/>
      </c>
      <c r="H13" s="9">
        <f>IF('Electrical Progress'!H13="","",'Electrical Progress'!H13)</f>
        <v/>
      </c>
      <c r="I13" s="9">
        <f>IF('Electrical Progress'!I13="","",'Electrical Progress'!I13)</f>
        <v/>
      </c>
      <c r="J13" s="10">
        <f>IF('Electrical Progress'!J13="","",'Electrical Progress'!J13)</f>
        <v/>
      </c>
      <c r="K13" s="10">
        <f>IF('Electrical Progress'!K13="","",'Electrical Progress'!K13)</f>
        <v/>
      </c>
      <c r="L13" s="10">
        <f>IF('Electrical Progress'!L13="","",'Electrical Progress'!L13)</f>
        <v/>
      </c>
      <c r="M13" s="10" t="n">
        <v>22343</v>
      </c>
      <c r="N13" s="10">
        <f>IF('Electrical Progress'!N13="","",'Electrical Progress'!N13)</f>
        <v/>
      </c>
      <c r="O13" s="10">
        <f>IF('Electrical Progress'!O13="","",'Electrical Progress'!O13)</f>
        <v/>
      </c>
      <c r="P13" s="10">
        <f>IF('Electrical Progress'!P13="","",'Electrical Progress'!P13)</f>
        <v/>
      </c>
      <c r="Q13" s="10">
        <f>IF('Electrical Progress'!Q13="","",'Electrical Progress'!Q13)</f>
        <v/>
      </c>
      <c r="R13" s="10">
        <f>IF('Electrical Progress'!R13="","",'Electrical Progress'!R13)</f>
        <v/>
      </c>
      <c r="S13" s="10">
        <f>IF('Electrical Progress'!S13="","",'Electrical Progress'!S13)</f>
        <v/>
      </c>
      <c r="T13" s="10">
        <f>IF('Electrical Progress'!T13="","",'Electrical Progress'!T13)</f>
        <v/>
      </c>
      <c r="U13" s="10">
        <f>IF('Electrical Progress'!U13="","",'Electrical Progress'!U13)</f>
        <v/>
      </c>
      <c r="V13" s="10">
        <f>IF('Electrical Progress'!V13="","",'Electrical Progress'!V13)</f>
        <v/>
      </c>
      <c r="W13" s="10">
        <f>IF('Electrical Progress'!W13="","",'Electrical Progress'!W13)</f>
        <v/>
      </c>
      <c r="X13" s="10">
        <f>IF('Electrical Progress'!X13="","",'Electrical Progress'!X13)</f>
        <v/>
      </c>
      <c r="Y13" s="10">
        <f>IF('Electrical Progress'!Y13="","",'Electrical Progress'!Y13)</f>
        <v/>
      </c>
      <c r="Z13" s="10">
        <f>IF('Electrical Progress'!Z13="","",'Electrical Progress'!Z13)</f>
        <v/>
      </c>
      <c r="AA13" s="10">
        <f>IF('Electrical Progress'!AA13="","",'Electrical Progress'!AA13)</f>
        <v/>
      </c>
      <c r="AB13" s="10">
        <f>IF('Electrical Progress'!AB13="","",'Electrical Progress'!AB13)</f>
        <v/>
      </c>
      <c r="AC13" s="10">
        <f>IF('Electrical Progress'!AC13="","",'Electrical Progress'!AC13)</f>
        <v/>
      </c>
      <c r="AD13" s="11" t="n"/>
    </row>
    <row r="14">
      <c r="A14" s="33" t="n"/>
      <c r="B14" s="29" t="n"/>
      <c r="C14" s="29" t="n"/>
      <c r="D14" s="12" t="inlineStr">
        <is>
          <t>NAUTICS - Cắt cáp (%)</t>
        </is>
      </c>
      <c r="E14" s="13">
        <f>IF('Electrical Progress'!E14="","",'Electrical Progress'!E14)</f>
        <v/>
      </c>
      <c r="F14" s="13">
        <f>IF('Electrical Progress'!F14="","",'Electrical Progress'!F14)</f>
        <v/>
      </c>
      <c r="G14" s="13">
        <f>IF('Electrical Progress'!G14="","",'Electrical Progress'!G14)</f>
        <v/>
      </c>
      <c r="H14" s="13">
        <f>IF('Electrical Progress'!H14="","",'Electrical Progress'!H14)</f>
        <v/>
      </c>
      <c r="I14" s="13">
        <f>IF('Electrical Progress'!I14="","",'Electrical Progress'!I14)</f>
        <v/>
      </c>
      <c r="J14" s="13">
        <f>IF('Electrical Progress'!J14="","",'Electrical Progress'!J14)</f>
        <v/>
      </c>
      <c r="K14" s="13">
        <f>IF('Electrical Progress'!K14="","",'Electrical Progress'!K14)</f>
        <v/>
      </c>
      <c r="L14" s="13">
        <f>IF('Electrical Progress'!L14="","",'Electrical Progress'!L14)</f>
        <v/>
      </c>
      <c r="M14" s="13">
        <f>IF('Electrical Progress'!M14="","",'Electrical Progress'!M14)</f>
        <v/>
      </c>
      <c r="N14" s="13">
        <f>IF('Electrical Progress'!N14="","",'Electrical Progress'!N14)</f>
        <v/>
      </c>
      <c r="O14" s="13">
        <f>IF('Electrical Progress'!O14="","",'Electrical Progress'!O14)</f>
        <v/>
      </c>
      <c r="P14" s="13">
        <f>IF('Electrical Progress'!P14="","",'Electrical Progress'!P14)</f>
        <v/>
      </c>
      <c r="Q14" s="13">
        <f>IF('Electrical Progress'!Q14="","",'Electrical Progress'!Q14)</f>
        <v/>
      </c>
      <c r="R14" s="13">
        <f>IF('Electrical Progress'!R14="","",'Electrical Progress'!R14)</f>
        <v/>
      </c>
      <c r="S14" s="13">
        <f>IF('Electrical Progress'!S14="","",'Electrical Progress'!S14)</f>
        <v/>
      </c>
      <c r="T14" s="13">
        <f>IF('Electrical Progress'!T14="","",'Electrical Progress'!T14)</f>
        <v/>
      </c>
      <c r="U14" s="13">
        <f>IF('Electrical Progress'!U14="","",'Electrical Progress'!U14)</f>
        <v/>
      </c>
      <c r="V14" s="13">
        <f>IF('Electrical Progress'!V14="","",'Electrical Progress'!V14)</f>
        <v/>
      </c>
      <c r="W14" s="13">
        <f>IF('Electrical Progress'!W14="","",'Electrical Progress'!W14)</f>
        <v/>
      </c>
      <c r="X14" s="13">
        <f>IF('Electrical Progress'!X14="","",'Electrical Progress'!X14)</f>
        <v/>
      </c>
      <c r="Y14" s="13">
        <f>IF('Electrical Progress'!Y14="","",'Electrical Progress'!Y14)</f>
        <v/>
      </c>
      <c r="Z14" s="13">
        <f>IF('Electrical Progress'!Z14="","",'Electrical Progress'!Z14)</f>
        <v/>
      </c>
      <c r="AA14" s="13">
        <f>IF('Electrical Progress'!AA14="","",'Electrical Progress'!AA14)</f>
        <v/>
      </c>
      <c r="AB14" s="13">
        <f>IF('Electrical Progress'!AB14="","",'Electrical Progress'!AB14)</f>
        <v/>
      </c>
      <c r="AC14" s="13">
        <f>IF('Electrical Progress'!AC14="","",'Electrical Progress'!AC14)</f>
        <v/>
      </c>
      <c r="AD14" s="11" t="n"/>
    </row>
    <row r="15">
      <c r="A15" s="33" t="n"/>
      <c r="B15" s="36" t="inlineStr">
        <is>
          <t>Kéo cáp</t>
        </is>
      </c>
      <c r="C15" s="31" t="inlineStr">
        <is>
          <t>m</t>
        </is>
      </c>
      <c r="D15" s="31" t="inlineStr">
        <is>
          <t>Khối lượng lũy kế</t>
        </is>
      </c>
      <c r="E15" s="9">
        <f>IF('Electrical Progress'!E15="","",'Electrical Progress'!E15)</f>
        <v/>
      </c>
      <c r="F15" s="9">
        <f>IF('Electrical Progress'!F15="","",'Electrical Progress'!F15)</f>
        <v/>
      </c>
      <c r="G15" s="9">
        <f>IF('Electrical Progress'!G15="","",'Electrical Progress'!G15)</f>
        <v/>
      </c>
      <c r="H15" s="9">
        <f>IF('Electrical Progress'!H15="","",'Electrical Progress'!H15)</f>
        <v/>
      </c>
      <c r="I15" s="9">
        <f>IF('Electrical Progress'!I15="","",'Electrical Progress'!I15)</f>
        <v/>
      </c>
      <c r="J15" s="10">
        <f>IF('Electrical Progress'!J15="","",'Electrical Progress'!J15)</f>
        <v/>
      </c>
      <c r="K15" s="10">
        <f>IF('Electrical Progress'!K15="","",'Electrical Progress'!K15)</f>
        <v/>
      </c>
      <c r="L15" s="10">
        <f>IF('Electrical Progress'!L15="","",'Electrical Progress'!L15)</f>
        <v/>
      </c>
      <c r="M15" s="10" t="n">
        <v>19059</v>
      </c>
      <c r="N15" s="10">
        <f>IF('Electrical Progress'!N15="","",'Electrical Progress'!N15)</f>
        <v/>
      </c>
      <c r="O15" s="10">
        <f>IF('Electrical Progress'!O15="","",'Electrical Progress'!O15)</f>
        <v/>
      </c>
      <c r="P15" s="10">
        <f>IF('Electrical Progress'!P15="","",'Electrical Progress'!P15)</f>
        <v/>
      </c>
      <c r="Q15" s="10">
        <f>IF('Electrical Progress'!Q15="","",'Electrical Progress'!Q15)</f>
        <v/>
      </c>
      <c r="R15" s="10">
        <f>IF('Electrical Progress'!R15="","",'Electrical Progress'!R15)</f>
        <v/>
      </c>
      <c r="S15" s="10">
        <f>IF('Electrical Progress'!S15="","",'Electrical Progress'!S15)</f>
        <v/>
      </c>
      <c r="T15" s="10">
        <f>IF('Electrical Progress'!T15="","",'Electrical Progress'!T15)</f>
        <v/>
      </c>
      <c r="U15" s="10">
        <f>IF('Electrical Progress'!U15="","",'Electrical Progress'!U15)</f>
        <v/>
      </c>
      <c r="V15" s="10">
        <f>IF('Electrical Progress'!V15="","",'Electrical Progress'!V15)</f>
        <v/>
      </c>
      <c r="W15" s="10">
        <f>IF('Electrical Progress'!W15="","",'Electrical Progress'!W15)</f>
        <v/>
      </c>
      <c r="X15" s="10">
        <f>IF('Electrical Progress'!X15="","",'Electrical Progress'!X15)</f>
        <v/>
      </c>
      <c r="Y15" s="10">
        <f>IF('Electrical Progress'!Y15="","",'Electrical Progress'!Y15)</f>
        <v/>
      </c>
      <c r="Z15" s="10">
        <f>IF('Electrical Progress'!Z15="","",'Electrical Progress'!Z15)</f>
        <v/>
      </c>
      <c r="AA15" s="10">
        <f>IF('Electrical Progress'!AA15="","",'Electrical Progress'!AA15)</f>
        <v/>
      </c>
      <c r="AB15" s="10">
        <f>IF('Electrical Progress'!AB15="","",'Electrical Progress'!AB15)</f>
        <v/>
      </c>
      <c r="AC15" s="10">
        <f>IF('Electrical Progress'!AC15="","",'Electrical Progress'!AC15)</f>
        <v/>
      </c>
      <c r="AD15" s="11" t="n"/>
    </row>
    <row r="16">
      <c r="A16" s="33" t="n"/>
      <c r="B16" s="29" t="n"/>
      <c r="C16" s="29" t="n"/>
      <c r="D16" s="12" t="inlineStr">
        <is>
          <t>NAUTICS - Kéo cáp (%)</t>
        </is>
      </c>
      <c r="E16" s="13">
        <f>IF('Electrical Progress'!E16="","",'Electrical Progress'!E16)</f>
        <v/>
      </c>
      <c r="F16" s="13">
        <f>IF('Electrical Progress'!F16="","",'Electrical Progress'!F16)</f>
        <v/>
      </c>
      <c r="G16" s="13">
        <f>IF('Electrical Progress'!G16="","",'Electrical Progress'!G16)</f>
        <v/>
      </c>
      <c r="H16" s="13">
        <f>IF('Electrical Progress'!H16="","",'Electrical Progress'!H16)</f>
        <v/>
      </c>
      <c r="I16" s="13">
        <f>IF('Electrical Progress'!I16="","",'Electrical Progress'!I16)</f>
        <v/>
      </c>
      <c r="J16" s="13">
        <f>IF('Electrical Progress'!J16="","",'Electrical Progress'!J16)</f>
        <v/>
      </c>
      <c r="K16" s="13">
        <f>IF('Electrical Progress'!K16="","",'Electrical Progress'!K16)</f>
        <v/>
      </c>
      <c r="L16" s="13">
        <f>IF('Electrical Progress'!L16="","",'Electrical Progress'!L16)</f>
        <v/>
      </c>
      <c r="M16" s="13">
        <f>IF('Electrical Progress'!M16="","",'Electrical Progress'!M16)</f>
        <v/>
      </c>
      <c r="N16" s="13">
        <f>IF('Electrical Progress'!N16="","",'Electrical Progress'!N16)</f>
        <v/>
      </c>
      <c r="O16" s="13">
        <f>IF('Electrical Progress'!O16="","",'Electrical Progress'!O16)</f>
        <v/>
      </c>
      <c r="P16" s="13">
        <f>IF('Electrical Progress'!P16="","",'Electrical Progress'!P16)</f>
        <v/>
      </c>
      <c r="Q16" s="13">
        <f>IF('Electrical Progress'!Q16="","",'Electrical Progress'!Q16)</f>
        <v/>
      </c>
      <c r="R16" s="13">
        <f>IF('Electrical Progress'!R16="","",'Electrical Progress'!R16)</f>
        <v/>
      </c>
      <c r="S16" s="13">
        <f>IF('Electrical Progress'!S16="","",'Electrical Progress'!S16)</f>
        <v/>
      </c>
      <c r="T16" s="13">
        <f>IF('Electrical Progress'!T16="","",'Electrical Progress'!T16)</f>
        <v/>
      </c>
      <c r="U16" s="13">
        <f>IF('Electrical Progress'!U16="","",'Electrical Progress'!U16)</f>
        <v/>
      </c>
      <c r="V16" s="13">
        <f>IF('Electrical Progress'!V16="","",'Electrical Progress'!V16)</f>
        <v/>
      </c>
      <c r="W16" s="13">
        <f>IF('Electrical Progress'!W16="","",'Electrical Progress'!W16)</f>
        <v/>
      </c>
      <c r="X16" s="13">
        <f>IF('Electrical Progress'!X16="","",'Electrical Progress'!X16)</f>
        <v/>
      </c>
      <c r="Y16" s="13">
        <f>IF('Electrical Progress'!Y16="","",'Electrical Progress'!Y16)</f>
        <v/>
      </c>
      <c r="Z16" s="13">
        <f>IF('Electrical Progress'!Z16="","",'Electrical Progress'!Z16)</f>
        <v/>
      </c>
      <c r="AA16" s="13">
        <f>IF('Electrical Progress'!AA16="","",'Electrical Progress'!AA16)</f>
        <v/>
      </c>
      <c r="AB16" s="13">
        <f>IF('Electrical Progress'!AB16="","",'Electrical Progress'!AB16)</f>
        <v/>
      </c>
      <c r="AC16" s="13">
        <f>IF('Electrical Progress'!AC16="","",'Electrical Progress'!AC16)</f>
        <v/>
      </c>
      <c r="AD16" s="11" t="n"/>
    </row>
    <row r="17">
      <c r="A17" s="33" t="n"/>
      <c r="B17" s="36" t="inlineStr">
        <is>
          <t>Đấu nối</t>
        </is>
      </c>
      <c r="C17" s="31" t="inlineStr">
        <is>
          <t>điểm</t>
        </is>
      </c>
      <c r="D17" s="31" t="inlineStr">
        <is>
          <t>Khối lượng lũy kế</t>
        </is>
      </c>
      <c r="E17" s="9">
        <f>IF('Electrical Progress'!E17="","",'Electrical Progress'!E17)</f>
        <v/>
      </c>
      <c r="F17" s="9">
        <f>IF('Electrical Progress'!F17="","",'Electrical Progress'!F17)</f>
        <v/>
      </c>
      <c r="G17" s="9">
        <f>IF('Electrical Progress'!G17="","",'Electrical Progress'!G17)</f>
        <v/>
      </c>
      <c r="H17" s="9">
        <f>IF('Electrical Progress'!H17="","",'Electrical Progress'!H17)</f>
        <v/>
      </c>
      <c r="I17" s="9">
        <f>IF('Electrical Progress'!I17="","",'Electrical Progress'!I17)</f>
        <v/>
      </c>
      <c r="J17" s="10">
        <f>IF('Electrical Progress'!J17="","",'Electrical Progress'!J17)</f>
        <v/>
      </c>
      <c r="K17" s="10">
        <f>IF('Electrical Progress'!K17="","",'Electrical Progress'!K17)</f>
        <v/>
      </c>
      <c r="L17" s="10">
        <f>IF('Electrical Progress'!L17="","",'Electrical Progress'!L17)</f>
        <v/>
      </c>
      <c r="M17" s="10" t="n">
        <v>207</v>
      </c>
      <c r="N17" s="10">
        <f>IF('Electrical Progress'!N17="","",'Electrical Progress'!N17)</f>
        <v/>
      </c>
      <c r="O17" s="10">
        <f>IF('Electrical Progress'!O17="","",'Electrical Progress'!O17)</f>
        <v/>
      </c>
      <c r="P17" s="10">
        <f>IF('Electrical Progress'!P17="","",'Electrical Progress'!P17)</f>
        <v/>
      </c>
      <c r="Q17" s="10">
        <f>IF('Electrical Progress'!Q17="","",'Electrical Progress'!Q17)</f>
        <v/>
      </c>
      <c r="R17" s="10">
        <f>IF('Electrical Progress'!R17="","",'Electrical Progress'!R17)</f>
        <v/>
      </c>
      <c r="S17" s="10">
        <f>IF('Electrical Progress'!S17="","",'Electrical Progress'!S17)</f>
        <v/>
      </c>
      <c r="T17" s="10">
        <f>IF('Electrical Progress'!T17="","",'Electrical Progress'!T17)</f>
        <v/>
      </c>
      <c r="U17" s="10">
        <f>IF('Electrical Progress'!U17="","",'Electrical Progress'!U17)</f>
        <v/>
      </c>
      <c r="V17" s="10">
        <f>IF('Electrical Progress'!V17="","",'Electrical Progress'!V17)</f>
        <v/>
      </c>
      <c r="W17" s="10">
        <f>IF('Electrical Progress'!W17="","",'Electrical Progress'!W17)</f>
        <v/>
      </c>
      <c r="X17" s="10">
        <f>IF('Electrical Progress'!X17="","",'Electrical Progress'!X17)</f>
        <v/>
      </c>
      <c r="Y17" s="10">
        <f>IF('Electrical Progress'!Y17="","",'Electrical Progress'!Y17)</f>
        <v/>
      </c>
      <c r="Z17" s="10">
        <f>IF('Electrical Progress'!Z17="","",'Electrical Progress'!Z17)</f>
        <v/>
      </c>
      <c r="AA17" s="10">
        <f>IF('Electrical Progress'!AA17="","",'Electrical Progress'!AA17)</f>
        <v/>
      </c>
      <c r="AB17" s="10">
        <f>IF('Electrical Progress'!AB17="","",'Electrical Progress'!AB17)</f>
        <v/>
      </c>
      <c r="AC17" s="10">
        <f>IF('Electrical Progress'!AC17="","",'Electrical Progress'!AC17)</f>
        <v/>
      </c>
      <c r="AD17" s="11" t="n"/>
    </row>
    <row r="18">
      <c r="A18" s="29" t="n"/>
      <c r="B18" s="29" t="n"/>
      <c r="C18" s="29" t="n"/>
      <c r="D18" s="12" t="inlineStr">
        <is>
          <t>NAUTICS - Đấu nối (%)</t>
        </is>
      </c>
      <c r="E18" s="13">
        <f>IF('Electrical Progress'!E18="","",'Electrical Progress'!E18)</f>
        <v/>
      </c>
      <c r="F18" s="13">
        <f>IF('Electrical Progress'!F18="","",'Electrical Progress'!F18)</f>
        <v/>
      </c>
      <c r="G18" s="13">
        <f>IF('Electrical Progress'!G18="","",'Electrical Progress'!G18)</f>
        <v/>
      </c>
      <c r="H18" s="13">
        <f>IF('Electrical Progress'!H18="","",'Electrical Progress'!H18)</f>
        <v/>
      </c>
      <c r="I18" s="13">
        <f>IF('Electrical Progress'!I18="","",'Electrical Progress'!I18)</f>
        <v/>
      </c>
      <c r="J18" s="13">
        <f>IF('Electrical Progress'!J18="","",'Electrical Progress'!J18)</f>
        <v/>
      </c>
      <c r="K18" s="13">
        <f>IF('Electrical Progress'!K18="","",'Electrical Progress'!K18)</f>
        <v/>
      </c>
      <c r="L18" s="13">
        <f>IF('Electrical Progress'!L18="","",'Electrical Progress'!L18)</f>
        <v/>
      </c>
      <c r="M18" s="13">
        <f>IF('Electrical Progress'!M18="","",'Electrical Progress'!M18)</f>
        <v/>
      </c>
      <c r="N18" s="13">
        <f>IF('Electrical Progress'!N18="","",'Electrical Progress'!N18)</f>
        <v/>
      </c>
      <c r="O18" s="13">
        <f>IF('Electrical Progress'!O18="","",'Electrical Progress'!O18)</f>
        <v/>
      </c>
      <c r="P18" s="13">
        <f>IF('Electrical Progress'!P18="","",'Electrical Progress'!P18)</f>
        <v/>
      </c>
      <c r="Q18" s="13">
        <f>IF('Electrical Progress'!Q18="","",'Electrical Progress'!Q18)</f>
        <v/>
      </c>
      <c r="R18" s="13">
        <f>IF('Electrical Progress'!R18="","",'Electrical Progress'!R18)</f>
        <v/>
      </c>
      <c r="S18" s="13">
        <f>IF('Electrical Progress'!S18="","",'Electrical Progress'!S18)</f>
        <v/>
      </c>
      <c r="T18" s="13">
        <f>IF('Electrical Progress'!T18="","",'Electrical Progress'!T18)</f>
        <v/>
      </c>
      <c r="U18" s="13">
        <f>IF('Electrical Progress'!U18="","",'Electrical Progress'!U18)</f>
        <v/>
      </c>
      <c r="V18" s="13">
        <f>IF('Electrical Progress'!V18="","",'Electrical Progress'!V18)</f>
        <v/>
      </c>
      <c r="W18" s="13">
        <f>IF('Electrical Progress'!W18="","",'Electrical Progress'!W18)</f>
        <v/>
      </c>
      <c r="X18" s="13">
        <f>IF('Electrical Progress'!X18="","",'Electrical Progress'!X18)</f>
        <v/>
      </c>
      <c r="Y18" s="13">
        <f>IF('Electrical Progress'!Y18="","",'Electrical Progress'!Y18)</f>
        <v/>
      </c>
      <c r="Z18" s="13">
        <f>IF('Electrical Progress'!Z18="","",'Electrical Progress'!Z18)</f>
        <v/>
      </c>
      <c r="AA18" s="13">
        <f>IF('Electrical Progress'!AA18="","",'Electrical Progress'!AA18)</f>
        <v/>
      </c>
      <c r="AB18" s="13">
        <f>IF('Electrical Progress'!AB18="","",'Electrical Progress'!AB18)</f>
        <v/>
      </c>
      <c r="AC18" s="13">
        <f>IF('Electrical Progress'!AC18="","",'Electrical Progress'!AC18)</f>
        <v/>
      </c>
      <c r="AD18" s="11" t="n"/>
    </row>
    <row r="19">
      <c r="A19" s="30" t="inlineStr">
        <is>
          <t>ST</t>
        </is>
      </c>
      <c r="B19" s="35" t="inlineStr">
        <is>
          <t>Cắt cáp</t>
        </is>
      </c>
      <c r="C19" s="30" t="inlineStr">
        <is>
          <t>m</t>
        </is>
      </c>
      <c r="D19" s="30" t="inlineStr">
        <is>
          <t>Khối lượng lũy kế</t>
        </is>
      </c>
      <c r="E19" s="15">
        <f>IF('Electrical Progress'!E19="","",'Electrical Progress'!E19)</f>
        <v/>
      </c>
      <c r="F19" s="15">
        <f>IF('Electrical Progress'!F19="","",'Electrical Progress'!F19)</f>
        <v/>
      </c>
      <c r="G19" s="15">
        <f>IF('Electrical Progress'!G19="","",'Electrical Progress'!G19)</f>
        <v/>
      </c>
      <c r="H19" s="15">
        <f>IF('Electrical Progress'!H19="","",'Electrical Progress'!H19)</f>
        <v/>
      </c>
      <c r="I19" s="15">
        <f>IF('Electrical Progress'!I19="","",'Electrical Progress'!I19)</f>
        <v/>
      </c>
      <c r="J19" s="16">
        <f>IF('Electrical Progress'!J19="","",'Electrical Progress'!J19)</f>
        <v/>
      </c>
      <c r="K19" s="16">
        <f>IF('Electrical Progress'!K19="","",'Electrical Progress'!K19)</f>
        <v/>
      </c>
      <c r="L19" s="16">
        <f>IF('Electrical Progress'!L19="","",'Electrical Progress'!L19)</f>
        <v/>
      </c>
      <c r="M19" s="16" t="n">
        <v>7517</v>
      </c>
      <c r="N19" s="16">
        <f>IF('Electrical Progress'!N19="","",'Electrical Progress'!N19)</f>
        <v/>
      </c>
      <c r="O19" s="16">
        <f>IF('Electrical Progress'!O19="","",'Electrical Progress'!O19)</f>
        <v/>
      </c>
      <c r="P19" s="16">
        <f>IF('Electrical Progress'!P19="","",'Electrical Progress'!P19)</f>
        <v/>
      </c>
      <c r="Q19" s="16">
        <f>IF('Electrical Progress'!Q19="","",'Electrical Progress'!Q19)</f>
        <v/>
      </c>
      <c r="R19" s="16">
        <f>IF('Electrical Progress'!R19="","",'Electrical Progress'!R19)</f>
        <v/>
      </c>
      <c r="S19" s="16">
        <f>IF('Electrical Progress'!S19="","",'Electrical Progress'!S19)</f>
        <v/>
      </c>
      <c r="T19" s="16">
        <f>IF('Electrical Progress'!T19="","",'Electrical Progress'!T19)</f>
        <v/>
      </c>
      <c r="U19" s="16">
        <f>IF('Electrical Progress'!U19="","",'Electrical Progress'!U19)</f>
        <v/>
      </c>
      <c r="V19" s="16">
        <f>IF('Electrical Progress'!V19="","",'Electrical Progress'!V19)</f>
        <v/>
      </c>
      <c r="W19" s="16">
        <f>IF('Electrical Progress'!W19="","",'Electrical Progress'!W19)</f>
        <v/>
      </c>
      <c r="X19" s="16">
        <f>IF('Electrical Progress'!X19="","",'Electrical Progress'!X19)</f>
        <v/>
      </c>
      <c r="Y19" s="16">
        <f>IF('Electrical Progress'!Y19="","",'Electrical Progress'!Y19)</f>
        <v/>
      </c>
      <c r="Z19" s="16">
        <f>IF('Electrical Progress'!Z19="","",'Electrical Progress'!Z19)</f>
        <v/>
      </c>
      <c r="AA19" s="16">
        <f>IF('Electrical Progress'!AA19="","",'Electrical Progress'!AA19)</f>
        <v/>
      </c>
      <c r="AB19" s="16">
        <f>IF('Electrical Progress'!AB19="","",'Electrical Progress'!AB19)</f>
        <v/>
      </c>
      <c r="AC19" s="16">
        <f>IF('Electrical Progress'!AC19="","",'Electrical Progress'!AC19)</f>
        <v/>
      </c>
      <c r="AD19" s="17" t="n"/>
    </row>
    <row r="20">
      <c r="A20" s="33" t="n"/>
      <c r="B20" s="29" t="n"/>
      <c r="C20" s="29" t="n"/>
      <c r="D20" s="18" t="inlineStr">
        <is>
          <t>ST - Cắt cáp (%)</t>
        </is>
      </c>
      <c r="E20" s="19">
        <f>IF('Electrical Progress'!E20="","",'Electrical Progress'!E20)</f>
        <v/>
      </c>
      <c r="F20" s="19">
        <f>IF('Electrical Progress'!F20="","",'Electrical Progress'!F20)</f>
        <v/>
      </c>
      <c r="G20" s="19">
        <f>IF('Electrical Progress'!G20="","",'Electrical Progress'!G20)</f>
        <v/>
      </c>
      <c r="H20" s="19">
        <f>IF('Electrical Progress'!H20="","",'Electrical Progress'!H20)</f>
        <v/>
      </c>
      <c r="I20" s="19">
        <f>IF('Electrical Progress'!I20="","",'Electrical Progress'!I20)</f>
        <v/>
      </c>
      <c r="J20" s="19">
        <f>IF('Electrical Progress'!J20="","",'Electrical Progress'!J20)</f>
        <v/>
      </c>
      <c r="K20" s="19">
        <f>IF('Electrical Progress'!K20="","",'Electrical Progress'!K20)</f>
        <v/>
      </c>
      <c r="L20" s="19">
        <f>IF('Electrical Progress'!L20="","",'Electrical Progress'!L20)</f>
        <v/>
      </c>
      <c r="M20" s="19">
        <f>IF('Electrical Progress'!M20="","",'Electrical Progress'!M20)</f>
        <v/>
      </c>
      <c r="N20" s="19">
        <f>IF('Electrical Progress'!N20="","",'Electrical Progress'!N20)</f>
        <v/>
      </c>
      <c r="O20" s="19">
        <f>IF('Electrical Progress'!O20="","",'Electrical Progress'!O20)</f>
        <v/>
      </c>
      <c r="P20" s="19">
        <f>IF('Electrical Progress'!P20="","",'Electrical Progress'!P20)</f>
        <v/>
      </c>
      <c r="Q20" s="19">
        <f>IF('Electrical Progress'!Q20="","",'Electrical Progress'!Q20)</f>
        <v/>
      </c>
      <c r="R20" s="19">
        <f>IF('Electrical Progress'!R20="","",'Electrical Progress'!R20)</f>
        <v/>
      </c>
      <c r="S20" s="19">
        <f>IF('Electrical Progress'!S20="","",'Electrical Progress'!S20)</f>
        <v/>
      </c>
      <c r="T20" s="19">
        <f>IF('Electrical Progress'!T20="","",'Electrical Progress'!T20)</f>
        <v/>
      </c>
      <c r="U20" s="19">
        <f>IF('Electrical Progress'!U20="","",'Electrical Progress'!U20)</f>
        <v/>
      </c>
      <c r="V20" s="19">
        <f>IF('Electrical Progress'!V20="","",'Electrical Progress'!V20)</f>
        <v/>
      </c>
      <c r="W20" s="19">
        <f>IF('Electrical Progress'!W20="","",'Electrical Progress'!W20)</f>
        <v/>
      </c>
      <c r="X20" s="19">
        <f>IF('Electrical Progress'!X20="","",'Electrical Progress'!X20)</f>
        <v/>
      </c>
      <c r="Y20" s="19">
        <f>IF('Electrical Progress'!Y20="","",'Electrical Progress'!Y20)</f>
        <v/>
      </c>
      <c r="Z20" s="19">
        <f>IF('Electrical Progress'!Z20="","",'Electrical Progress'!Z20)</f>
        <v/>
      </c>
      <c r="AA20" s="19">
        <f>IF('Electrical Progress'!AA20="","",'Electrical Progress'!AA20)</f>
        <v/>
      </c>
      <c r="AB20" s="19">
        <f>IF('Electrical Progress'!AB20="","",'Electrical Progress'!AB20)</f>
        <v/>
      </c>
      <c r="AC20" s="19">
        <f>IF('Electrical Progress'!AC20="","",'Electrical Progress'!AC20)</f>
        <v/>
      </c>
      <c r="AD20" s="17" t="n"/>
    </row>
    <row r="21">
      <c r="A21" s="33" t="n"/>
      <c r="B21" s="35" t="inlineStr">
        <is>
          <t>Kéo cáp</t>
        </is>
      </c>
      <c r="C21" s="30" t="inlineStr">
        <is>
          <t>m</t>
        </is>
      </c>
      <c r="D21" s="30" t="inlineStr">
        <is>
          <t>Khối lượng lũy kế</t>
        </is>
      </c>
      <c r="E21" s="15">
        <f>IF('Electrical Progress'!E21="","",'Electrical Progress'!E21)</f>
        <v/>
      </c>
      <c r="F21" s="15">
        <f>IF('Electrical Progress'!F21="","",'Electrical Progress'!F21)</f>
        <v/>
      </c>
      <c r="G21" s="15">
        <f>IF('Electrical Progress'!G21="","",'Electrical Progress'!G21)</f>
        <v/>
      </c>
      <c r="H21" s="15">
        <f>IF('Electrical Progress'!H21="","",'Electrical Progress'!H21)</f>
        <v/>
      </c>
      <c r="I21" s="15">
        <f>IF('Electrical Progress'!I21="","",'Electrical Progress'!I21)</f>
        <v/>
      </c>
      <c r="J21" s="16">
        <f>IF('Electrical Progress'!J21="","",'Electrical Progress'!J21)</f>
        <v/>
      </c>
      <c r="K21" s="16">
        <f>IF('Electrical Progress'!K21="","",'Electrical Progress'!K21)</f>
        <v/>
      </c>
      <c r="L21" s="16">
        <f>IF('Electrical Progress'!L21="","",'Electrical Progress'!L21)</f>
        <v/>
      </c>
      <c r="M21" s="16" t="n">
        <v>5721</v>
      </c>
      <c r="N21" s="16">
        <f>IF('Electrical Progress'!N21="","",'Electrical Progress'!N21)</f>
        <v/>
      </c>
      <c r="O21" s="16">
        <f>IF('Electrical Progress'!O21="","",'Electrical Progress'!O21)</f>
        <v/>
      </c>
      <c r="P21" s="16">
        <f>IF('Electrical Progress'!P21="","",'Electrical Progress'!P21)</f>
        <v/>
      </c>
      <c r="Q21" s="16">
        <f>IF('Electrical Progress'!Q21="","",'Electrical Progress'!Q21)</f>
        <v/>
      </c>
      <c r="R21" s="16">
        <f>IF('Electrical Progress'!R21="","",'Electrical Progress'!R21)</f>
        <v/>
      </c>
      <c r="S21" s="16">
        <f>IF('Electrical Progress'!S21="","",'Electrical Progress'!S21)</f>
        <v/>
      </c>
      <c r="T21" s="16">
        <f>IF('Electrical Progress'!T21="","",'Electrical Progress'!T21)</f>
        <v/>
      </c>
      <c r="U21" s="16">
        <f>IF('Electrical Progress'!U21="","",'Electrical Progress'!U21)</f>
        <v/>
      </c>
      <c r="V21" s="16">
        <f>IF('Electrical Progress'!V21="","",'Electrical Progress'!V21)</f>
        <v/>
      </c>
      <c r="W21" s="16">
        <f>IF('Electrical Progress'!W21="","",'Electrical Progress'!W21)</f>
        <v/>
      </c>
      <c r="X21" s="16">
        <f>IF('Electrical Progress'!X21="","",'Electrical Progress'!X21)</f>
        <v/>
      </c>
      <c r="Y21" s="16">
        <f>IF('Electrical Progress'!Y21="","",'Electrical Progress'!Y21)</f>
        <v/>
      </c>
      <c r="Z21" s="16">
        <f>IF('Electrical Progress'!Z21="","",'Electrical Progress'!Z21)</f>
        <v/>
      </c>
      <c r="AA21" s="16">
        <f>IF('Electrical Progress'!AA21="","",'Electrical Progress'!AA21)</f>
        <v/>
      </c>
      <c r="AB21" s="16">
        <f>IF('Electrical Progress'!AB21="","",'Electrical Progress'!AB21)</f>
        <v/>
      </c>
      <c r="AC21" s="16">
        <f>IF('Electrical Progress'!AC21="","",'Electrical Progress'!AC21)</f>
        <v/>
      </c>
      <c r="AD21" s="17" t="n"/>
    </row>
    <row r="22">
      <c r="A22" s="33" t="n"/>
      <c r="B22" s="29" t="n"/>
      <c r="C22" s="29" t="n"/>
      <c r="D22" s="18" t="inlineStr">
        <is>
          <t>ST - Kéo cáp (%)</t>
        </is>
      </c>
      <c r="E22" s="19">
        <f>IF('Electrical Progress'!E22="","",'Electrical Progress'!E22)</f>
        <v/>
      </c>
      <c r="F22" s="19">
        <f>IF('Electrical Progress'!F22="","",'Electrical Progress'!F22)</f>
        <v/>
      </c>
      <c r="G22" s="19">
        <f>IF('Electrical Progress'!G22="","",'Electrical Progress'!G22)</f>
        <v/>
      </c>
      <c r="H22" s="19">
        <f>IF('Electrical Progress'!H22="","",'Electrical Progress'!H22)</f>
        <v/>
      </c>
      <c r="I22" s="19">
        <f>IF('Electrical Progress'!I22="","",'Electrical Progress'!I22)</f>
        <v/>
      </c>
      <c r="J22" s="19">
        <f>IF('Electrical Progress'!J22="","",'Electrical Progress'!J22)</f>
        <v/>
      </c>
      <c r="K22" s="19">
        <f>IF('Electrical Progress'!K22="","",'Electrical Progress'!K22)</f>
        <v/>
      </c>
      <c r="L22" s="19">
        <f>IF('Electrical Progress'!L22="","",'Electrical Progress'!L22)</f>
        <v/>
      </c>
      <c r="M22" s="19">
        <f>IF('Electrical Progress'!M22="","",'Electrical Progress'!M22)</f>
        <v/>
      </c>
      <c r="N22" s="19">
        <f>IF('Electrical Progress'!N22="","",'Electrical Progress'!N22)</f>
        <v/>
      </c>
      <c r="O22" s="19">
        <f>IF('Electrical Progress'!O22="","",'Electrical Progress'!O22)</f>
        <v/>
      </c>
      <c r="P22" s="19">
        <f>IF('Electrical Progress'!P22="","",'Electrical Progress'!P22)</f>
        <v/>
      </c>
      <c r="Q22" s="19">
        <f>IF('Electrical Progress'!Q22="","",'Electrical Progress'!Q22)</f>
        <v/>
      </c>
      <c r="R22" s="19">
        <f>IF('Electrical Progress'!R22="","",'Electrical Progress'!R22)</f>
        <v/>
      </c>
      <c r="S22" s="19">
        <f>IF('Electrical Progress'!S22="","",'Electrical Progress'!S22)</f>
        <v/>
      </c>
      <c r="T22" s="19">
        <f>IF('Electrical Progress'!T22="","",'Electrical Progress'!T22)</f>
        <v/>
      </c>
      <c r="U22" s="19">
        <f>IF('Electrical Progress'!U22="","",'Electrical Progress'!U22)</f>
        <v/>
      </c>
      <c r="V22" s="19">
        <f>IF('Electrical Progress'!V22="","",'Electrical Progress'!V22)</f>
        <v/>
      </c>
      <c r="W22" s="19">
        <f>IF('Electrical Progress'!W22="","",'Electrical Progress'!W22)</f>
        <v/>
      </c>
      <c r="X22" s="19">
        <f>IF('Electrical Progress'!X22="","",'Electrical Progress'!X22)</f>
        <v/>
      </c>
      <c r="Y22" s="19">
        <f>IF('Electrical Progress'!Y22="","",'Electrical Progress'!Y22)</f>
        <v/>
      </c>
      <c r="Z22" s="19">
        <f>IF('Electrical Progress'!Z22="","",'Electrical Progress'!Z22)</f>
        <v/>
      </c>
      <c r="AA22" s="19">
        <f>IF('Electrical Progress'!AA22="","",'Electrical Progress'!AA22)</f>
        <v/>
      </c>
      <c r="AB22" s="19">
        <f>IF('Electrical Progress'!AB22="","",'Electrical Progress'!AB22)</f>
        <v/>
      </c>
      <c r="AC22" s="19">
        <f>IF('Electrical Progress'!AC22="","",'Electrical Progress'!AC22)</f>
        <v/>
      </c>
      <c r="AD22" s="17" t="n"/>
    </row>
    <row r="23">
      <c r="A23" s="33" t="n"/>
      <c r="B23" s="35" t="inlineStr">
        <is>
          <t>Đấu nối</t>
        </is>
      </c>
      <c r="C23" s="30" t="inlineStr">
        <is>
          <t>điểm</t>
        </is>
      </c>
      <c r="D23" s="30" t="inlineStr">
        <is>
          <t>Khối lượng lũy kế</t>
        </is>
      </c>
      <c r="E23" s="15">
        <f>IF('Electrical Progress'!E23="","",'Electrical Progress'!E23)</f>
        <v/>
      </c>
      <c r="F23" s="15">
        <f>IF('Electrical Progress'!F23="","",'Electrical Progress'!F23)</f>
        <v/>
      </c>
      <c r="G23" s="15">
        <f>IF('Electrical Progress'!G23="","",'Electrical Progress'!G23)</f>
        <v/>
      </c>
      <c r="H23" s="15">
        <f>IF('Electrical Progress'!H23="","",'Electrical Progress'!H23)</f>
        <v/>
      </c>
      <c r="I23" s="15">
        <f>IF('Electrical Progress'!I23="","",'Electrical Progress'!I23)</f>
        <v/>
      </c>
      <c r="J23" s="16">
        <f>IF('Electrical Progress'!J23="","",'Electrical Progress'!J23)</f>
        <v/>
      </c>
      <c r="K23" s="16">
        <f>IF('Electrical Progress'!K23="","",'Electrical Progress'!K23)</f>
        <v/>
      </c>
      <c r="L23" s="16">
        <f>IF('Electrical Progress'!L23="","",'Electrical Progress'!L23)</f>
        <v/>
      </c>
      <c r="M23" s="16" t="n">
        <v>0</v>
      </c>
      <c r="N23" s="16">
        <f>IF('Electrical Progress'!N23="","",'Electrical Progress'!N23)</f>
        <v/>
      </c>
      <c r="O23" s="16">
        <f>IF('Electrical Progress'!O23="","",'Electrical Progress'!O23)</f>
        <v/>
      </c>
      <c r="P23" s="16">
        <f>IF('Electrical Progress'!P23="","",'Electrical Progress'!P23)</f>
        <v/>
      </c>
      <c r="Q23" s="16">
        <f>IF('Electrical Progress'!Q23="","",'Electrical Progress'!Q23)</f>
        <v/>
      </c>
      <c r="R23" s="16">
        <f>IF('Electrical Progress'!R23="","",'Electrical Progress'!R23)</f>
        <v/>
      </c>
      <c r="S23" s="16">
        <f>IF('Electrical Progress'!S23="","",'Electrical Progress'!S23)</f>
        <v/>
      </c>
      <c r="T23" s="16">
        <f>IF('Electrical Progress'!T23="","",'Electrical Progress'!T23)</f>
        <v/>
      </c>
      <c r="U23" s="16">
        <f>IF('Electrical Progress'!U23="","",'Electrical Progress'!U23)</f>
        <v/>
      </c>
      <c r="V23" s="16">
        <f>IF('Electrical Progress'!V23="","",'Electrical Progress'!V23)</f>
        <v/>
      </c>
      <c r="W23" s="16">
        <f>IF('Electrical Progress'!W23="","",'Electrical Progress'!W23)</f>
        <v/>
      </c>
      <c r="X23" s="16">
        <f>IF('Electrical Progress'!X23="","",'Electrical Progress'!X23)</f>
        <v/>
      </c>
      <c r="Y23" s="16">
        <f>IF('Electrical Progress'!Y23="","",'Electrical Progress'!Y23)</f>
        <v/>
      </c>
      <c r="Z23" s="16">
        <f>IF('Electrical Progress'!Z23="","",'Electrical Progress'!Z23)</f>
        <v/>
      </c>
      <c r="AA23" s="16">
        <f>IF('Electrical Progress'!AA23="","",'Electrical Progress'!AA23)</f>
        <v/>
      </c>
      <c r="AB23" s="16">
        <f>IF('Electrical Progress'!AB23="","",'Electrical Progress'!AB23)</f>
        <v/>
      </c>
      <c r="AC23" s="16">
        <f>IF('Electrical Progress'!AC23="","",'Electrical Progress'!AC23)</f>
        <v/>
      </c>
      <c r="AD23" s="17" t="n"/>
    </row>
    <row r="24">
      <c r="A24" s="29" t="n"/>
      <c r="B24" s="29" t="n"/>
      <c r="C24" s="29" t="n"/>
      <c r="D24" s="18" t="inlineStr">
        <is>
          <t>ST - Đấu nối (%)</t>
        </is>
      </c>
      <c r="E24" s="19">
        <f>IF('Electrical Progress'!E24="","",'Electrical Progress'!E24)</f>
        <v/>
      </c>
      <c r="F24" s="19">
        <f>IF('Electrical Progress'!F24="","",'Electrical Progress'!F24)</f>
        <v/>
      </c>
      <c r="G24" s="19">
        <f>IF('Electrical Progress'!G24="","",'Electrical Progress'!G24)</f>
        <v/>
      </c>
      <c r="H24" s="19">
        <f>IF('Electrical Progress'!H24="","",'Electrical Progress'!H24)</f>
        <v/>
      </c>
      <c r="I24" s="19">
        <f>IF('Electrical Progress'!I24="","",'Electrical Progress'!I24)</f>
        <v/>
      </c>
      <c r="J24" s="19">
        <f>IF('Electrical Progress'!J24="","",'Electrical Progress'!J24)</f>
        <v/>
      </c>
      <c r="K24" s="19">
        <f>IF('Electrical Progress'!K24="","",'Electrical Progress'!K24)</f>
        <v/>
      </c>
      <c r="L24" s="19">
        <f>IF('Electrical Progress'!L24="","",'Electrical Progress'!L24)</f>
        <v/>
      </c>
      <c r="M24" s="19">
        <f>IF('Electrical Progress'!M24="","",'Electrical Progress'!M24)</f>
        <v/>
      </c>
      <c r="N24" s="19">
        <f>IF('Electrical Progress'!N24="","",'Electrical Progress'!N24)</f>
        <v/>
      </c>
      <c r="O24" s="19">
        <f>IF('Electrical Progress'!O24="","",'Electrical Progress'!O24)</f>
        <v/>
      </c>
      <c r="P24" s="19">
        <f>IF('Electrical Progress'!P24="","",'Electrical Progress'!P24)</f>
        <v/>
      </c>
      <c r="Q24" s="19">
        <f>IF('Electrical Progress'!Q24="","",'Electrical Progress'!Q24)</f>
        <v/>
      </c>
      <c r="R24" s="19">
        <f>IF('Electrical Progress'!R24="","",'Electrical Progress'!R24)</f>
        <v/>
      </c>
      <c r="S24" s="19">
        <f>IF('Electrical Progress'!S24="","",'Electrical Progress'!S24)</f>
        <v/>
      </c>
      <c r="T24" s="19">
        <f>IF('Electrical Progress'!T24="","",'Electrical Progress'!T24)</f>
        <v/>
      </c>
      <c r="U24" s="19">
        <f>IF('Electrical Progress'!U24="","",'Electrical Progress'!U24)</f>
        <v/>
      </c>
      <c r="V24" s="19">
        <f>IF('Electrical Progress'!V24="","",'Electrical Progress'!V24)</f>
        <v/>
      </c>
      <c r="W24" s="19">
        <f>IF('Electrical Progress'!W24="","",'Electrical Progress'!W24)</f>
        <v/>
      </c>
      <c r="X24" s="19">
        <f>IF('Electrical Progress'!X24="","",'Electrical Progress'!X24)</f>
        <v/>
      </c>
      <c r="Y24" s="19">
        <f>IF('Electrical Progress'!Y24="","",'Electrical Progress'!Y24)</f>
        <v/>
      </c>
      <c r="Z24" s="19">
        <f>IF('Electrical Progress'!Z24="","",'Electrical Progress'!Z24)</f>
        <v/>
      </c>
      <c r="AA24" s="19">
        <f>IF('Electrical Progress'!AA24="","",'Electrical Progress'!AA24)</f>
        <v/>
      </c>
      <c r="AB24" s="19">
        <f>IF('Electrical Progress'!AB24="","",'Electrical Progress'!AB24)</f>
        <v/>
      </c>
      <c r="AC24" s="19">
        <f>IF('Electrical Progress'!AC24="","",'Electrical Progress'!AC24)</f>
        <v/>
      </c>
      <c r="AD24" s="17" t="n"/>
    </row>
    <row r="25">
      <c r="A25" s="34" t="inlineStr">
        <is>
          <t>TỔNG DỰ ÁN</t>
        </is>
      </c>
      <c r="B25" s="37" t="inlineStr">
        <is>
          <t>Cắt cáp</t>
        </is>
      </c>
      <c r="C25" s="34" t="inlineStr">
        <is>
          <t>m</t>
        </is>
      </c>
      <c r="D25" s="34" t="inlineStr">
        <is>
          <t>Khối lượng lũy kế</t>
        </is>
      </c>
      <c r="E25" s="21">
        <f>IF('Electrical Progress'!E25="","",'Electrical Progress'!E25)</f>
        <v/>
      </c>
      <c r="F25" s="21">
        <f>IF('Electrical Progress'!F25="","",'Electrical Progress'!F25)</f>
        <v/>
      </c>
      <c r="G25" s="21">
        <f>IF('Electrical Progress'!G25="","",'Electrical Progress'!G25)</f>
        <v/>
      </c>
      <c r="H25" s="21">
        <f>IF('Electrical Progress'!H25="","",'Electrical Progress'!H25)</f>
        <v/>
      </c>
      <c r="I25" s="21">
        <f>IF('Electrical Progress'!I25="","",'Electrical Progress'!I25)</f>
        <v/>
      </c>
      <c r="J25" s="21">
        <f>IF('Electrical Progress'!J25="","",'Electrical Progress'!J25)</f>
        <v/>
      </c>
      <c r="K25" s="21">
        <f>IF('Electrical Progress'!K25="","",'Electrical Progress'!K25)</f>
        <v/>
      </c>
      <c r="L25" s="21">
        <f>IF('Electrical Progress'!L25="","",'Electrical Progress'!L25)</f>
        <v/>
      </c>
      <c r="M25" s="21" t="n">
        <v>59724</v>
      </c>
      <c r="N25" s="21">
        <f>IF('Electrical Progress'!N25="","",'Electrical Progress'!N25)</f>
        <v/>
      </c>
      <c r="O25" s="21">
        <f>IF('Electrical Progress'!O25="","",'Electrical Progress'!O25)</f>
        <v/>
      </c>
      <c r="P25" s="21">
        <f>IF('Electrical Progress'!P25="","",'Electrical Progress'!P25)</f>
        <v/>
      </c>
      <c r="Q25" s="21">
        <f>IF('Electrical Progress'!Q25="","",'Electrical Progress'!Q25)</f>
        <v/>
      </c>
      <c r="R25" s="21">
        <f>IF('Electrical Progress'!R25="","",'Electrical Progress'!R25)</f>
        <v/>
      </c>
      <c r="S25" s="21">
        <f>IF('Electrical Progress'!S25="","",'Electrical Progress'!S25)</f>
        <v/>
      </c>
      <c r="T25" s="21">
        <f>IF('Electrical Progress'!T25="","",'Electrical Progress'!T25)</f>
        <v/>
      </c>
      <c r="U25" s="21">
        <f>IF('Electrical Progress'!U25="","",'Electrical Progress'!U25)</f>
        <v/>
      </c>
      <c r="V25" s="21">
        <f>IF('Electrical Progress'!V25="","",'Electrical Progress'!V25)</f>
        <v/>
      </c>
      <c r="W25" s="21">
        <f>IF('Electrical Progress'!W25="","",'Electrical Progress'!W25)</f>
        <v/>
      </c>
      <c r="X25" s="21">
        <f>IF('Electrical Progress'!X25="","",'Electrical Progress'!X25)</f>
        <v/>
      </c>
      <c r="Y25" s="21">
        <f>IF('Electrical Progress'!Y25="","",'Electrical Progress'!Y25)</f>
        <v/>
      </c>
      <c r="Z25" s="21">
        <f>IF('Electrical Progress'!Z25="","",'Electrical Progress'!Z25)</f>
        <v/>
      </c>
      <c r="AA25" s="21">
        <f>IF('Electrical Progress'!AA25="","",'Electrical Progress'!AA25)</f>
        <v/>
      </c>
      <c r="AB25" s="21">
        <f>IF('Electrical Progress'!AB25="","",'Electrical Progress'!AB25)</f>
        <v/>
      </c>
      <c r="AC25" s="21">
        <f>IF('Electrical Progress'!AC25="","",'Electrical Progress'!AC25)</f>
        <v/>
      </c>
      <c r="AD25" s="22" t="n"/>
    </row>
    <row r="26">
      <c r="A26" s="33" t="n"/>
      <c r="B26" s="29" t="n"/>
      <c r="C26" s="29" t="n"/>
      <c r="D26" s="34" t="inlineStr">
        <is>
          <t>TỔNG DỰ ÁN - Cắt cáp (%)</t>
        </is>
      </c>
      <c r="E26" s="23">
        <f>IF('Electrical Progress'!E26="","",'Electrical Progress'!E26)</f>
        <v/>
      </c>
      <c r="F26" s="23">
        <f>IF('Electrical Progress'!F26="","",'Electrical Progress'!F26)</f>
        <v/>
      </c>
      <c r="G26" s="23">
        <f>IF('Electrical Progress'!G26="","",'Electrical Progress'!G26)</f>
        <v/>
      </c>
      <c r="H26" s="23">
        <f>IF('Electrical Progress'!H26="","",'Electrical Progress'!H26)</f>
        <v/>
      </c>
      <c r="I26" s="23">
        <f>IF('Electrical Progress'!I26="","",'Electrical Progress'!I26)</f>
        <v/>
      </c>
      <c r="J26" s="23">
        <f>IF('Electrical Progress'!J26="","",'Electrical Progress'!J26)</f>
        <v/>
      </c>
      <c r="K26" s="23">
        <f>IF('Electrical Progress'!K26="","",'Electrical Progress'!K26)</f>
        <v/>
      </c>
      <c r="L26" s="23">
        <f>IF('Electrical Progress'!L26="","",'Electrical Progress'!L26)</f>
        <v/>
      </c>
      <c r="M26" s="23">
        <f>IF('Electrical Progress'!M26="","",'Electrical Progress'!M26)</f>
        <v/>
      </c>
      <c r="N26" s="23">
        <f>IF('Electrical Progress'!N26="","",'Electrical Progress'!N26)</f>
        <v/>
      </c>
      <c r="O26" s="23">
        <f>IF('Electrical Progress'!O26="","",'Electrical Progress'!O26)</f>
        <v/>
      </c>
      <c r="P26" s="23">
        <f>IF('Electrical Progress'!P26="","",'Electrical Progress'!P26)</f>
        <v/>
      </c>
      <c r="Q26" s="23">
        <f>IF('Electrical Progress'!Q26="","",'Electrical Progress'!Q26)</f>
        <v/>
      </c>
      <c r="R26" s="23">
        <f>IF('Electrical Progress'!R26="","",'Electrical Progress'!R26)</f>
        <v/>
      </c>
      <c r="S26" s="23">
        <f>IF('Electrical Progress'!S26="","",'Electrical Progress'!S26)</f>
        <v/>
      </c>
      <c r="T26" s="23">
        <f>IF('Electrical Progress'!T26="","",'Electrical Progress'!T26)</f>
        <v/>
      </c>
      <c r="U26" s="23">
        <f>IF('Electrical Progress'!U26="","",'Electrical Progress'!U26)</f>
        <v/>
      </c>
      <c r="V26" s="23">
        <f>IF('Electrical Progress'!V26="","",'Electrical Progress'!V26)</f>
        <v/>
      </c>
      <c r="W26" s="23">
        <f>IF('Electrical Progress'!W26="","",'Electrical Progress'!W26)</f>
        <v/>
      </c>
      <c r="X26" s="23">
        <f>IF('Electrical Progress'!X26="","",'Electrical Progress'!X26)</f>
        <v/>
      </c>
      <c r="Y26" s="23">
        <f>IF('Electrical Progress'!Y26="","",'Electrical Progress'!Y26)</f>
        <v/>
      </c>
      <c r="Z26" s="23">
        <f>IF('Electrical Progress'!Z26="","",'Electrical Progress'!Z26)</f>
        <v/>
      </c>
      <c r="AA26" s="23">
        <f>IF('Electrical Progress'!AA26="","",'Electrical Progress'!AA26)</f>
        <v/>
      </c>
      <c r="AB26" s="23">
        <f>IF('Electrical Progress'!AB26="","",'Electrical Progress'!AB26)</f>
        <v/>
      </c>
      <c r="AC26" s="23">
        <f>IF('Electrical Progress'!AC26="","",'Electrical Progress'!AC26)</f>
        <v/>
      </c>
      <c r="AD26" s="22" t="n"/>
    </row>
    <row r="27">
      <c r="A27" s="33" t="n"/>
      <c r="B27" s="37" t="inlineStr">
        <is>
          <t>Kéo cáp</t>
        </is>
      </c>
      <c r="C27" s="34" t="inlineStr">
        <is>
          <t>m</t>
        </is>
      </c>
      <c r="D27" s="34" t="inlineStr">
        <is>
          <t>Khối lượng lũy kế</t>
        </is>
      </c>
      <c r="E27" s="21">
        <f>IF('Electrical Progress'!E27="","",'Electrical Progress'!E27)</f>
        <v/>
      </c>
      <c r="F27" s="21">
        <f>IF('Electrical Progress'!F27="","",'Electrical Progress'!F27)</f>
        <v/>
      </c>
      <c r="G27" s="21">
        <f>IF('Electrical Progress'!G27="","",'Electrical Progress'!G27)</f>
        <v/>
      </c>
      <c r="H27" s="21">
        <f>IF('Electrical Progress'!H27="","",'Electrical Progress'!H27)</f>
        <v/>
      </c>
      <c r="I27" s="21">
        <f>IF('Electrical Progress'!I27="","",'Electrical Progress'!I27)</f>
        <v/>
      </c>
      <c r="J27" s="21">
        <f>IF('Electrical Progress'!J27="","",'Electrical Progress'!J27)</f>
        <v/>
      </c>
      <c r="K27" s="21">
        <f>IF('Electrical Progress'!K27="","",'Electrical Progress'!K27)</f>
        <v/>
      </c>
      <c r="L27" s="21">
        <f>IF('Electrical Progress'!L27="","",'Electrical Progress'!L27)</f>
        <v/>
      </c>
      <c r="M27" s="21" t="n">
        <v>49686</v>
      </c>
      <c r="N27" s="21">
        <f>IF('Electrical Progress'!N27="","",'Electrical Progress'!N27)</f>
        <v/>
      </c>
      <c r="O27" s="21">
        <f>IF('Electrical Progress'!O27="","",'Electrical Progress'!O27)</f>
        <v/>
      </c>
      <c r="P27" s="21">
        <f>IF('Electrical Progress'!P27="","",'Electrical Progress'!P27)</f>
        <v/>
      </c>
      <c r="Q27" s="21">
        <f>IF('Electrical Progress'!Q27="","",'Electrical Progress'!Q27)</f>
        <v/>
      </c>
      <c r="R27" s="21">
        <f>IF('Electrical Progress'!R27="","",'Electrical Progress'!R27)</f>
        <v/>
      </c>
      <c r="S27" s="21">
        <f>IF('Electrical Progress'!S27="","",'Electrical Progress'!S27)</f>
        <v/>
      </c>
      <c r="T27" s="21">
        <f>IF('Electrical Progress'!T27="","",'Electrical Progress'!T27)</f>
        <v/>
      </c>
      <c r="U27" s="21">
        <f>IF('Electrical Progress'!U27="","",'Electrical Progress'!U27)</f>
        <v/>
      </c>
      <c r="V27" s="21">
        <f>IF('Electrical Progress'!V27="","",'Electrical Progress'!V27)</f>
        <v/>
      </c>
      <c r="W27" s="21">
        <f>IF('Electrical Progress'!W27="","",'Electrical Progress'!W27)</f>
        <v/>
      </c>
      <c r="X27" s="21">
        <f>IF('Electrical Progress'!X27="","",'Electrical Progress'!X27)</f>
        <v/>
      </c>
      <c r="Y27" s="21">
        <f>IF('Electrical Progress'!Y27="","",'Electrical Progress'!Y27)</f>
        <v/>
      </c>
      <c r="Z27" s="21">
        <f>IF('Electrical Progress'!Z27="","",'Electrical Progress'!Z27)</f>
        <v/>
      </c>
      <c r="AA27" s="21">
        <f>IF('Electrical Progress'!AA27="","",'Electrical Progress'!AA27)</f>
        <v/>
      </c>
      <c r="AB27" s="21">
        <f>IF('Electrical Progress'!AB27="","",'Electrical Progress'!AB27)</f>
        <v/>
      </c>
      <c r="AC27" s="21">
        <f>IF('Electrical Progress'!AC27="","",'Electrical Progress'!AC27)</f>
        <v/>
      </c>
      <c r="AD27" s="22" t="n"/>
    </row>
    <row r="28">
      <c r="A28" s="33" t="n"/>
      <c r="B28" s="29" t="n"/>
      <c r="C28" s="29" t="n"/>
      <c r="D28" s="34" t="inlineStr">
        <is>
          <t>TỔNG DỰ ÁN - Kéo cáp (%)</t>
        </is>
      </c>
      <c r="E28" s="23">
        <f>IF('Electrical Progress'!E28="","",'Electrical Progress'!E28)</f>
        <v/>
      </c>
      <c r="F28" s="23">
        <f>IF('Electrical Progress'!F28="","",'Electrical Progress'!F28)</f>
        <v/>
      </c>
      <c r="G28" s="23">
        <f>IF('Electrical Progress'!G28="","",'Electrical Progress'!G28)</f>
        <v/>
      </c>
      <c r="H28" s="23">
        <f>IF('Electrical Progress'!H28="","",'Electrical Progress'!H28)</f>
        <v/>
      </c>
      <c r="I28" s="23">
        <f>IF('Electrical Progress'!I28="","",'Electrical Progress'!I28)</f>
        <v/>
      </c>
      <c r="J28" s="23">
        <f>IF('Electrical Progress'!J28="","",'Electrical Progress'!J28)</f>
        <v/>
      </c>
      <c r="K28" s="23">
        <f>IF('Electrical Progress'!K28="","",'Electrical Progress'!K28)</f>
        <v/>
      </c>
      <c r="L28" s="23">
        <f>IF('Electrical Progress'!L28="","",'Electrical Progress'!L28)</f>
        <v/>
      </c>
      <c r="M28" s="23">
        <f>IF('Electrical Progress'!M28="","",'Electrical Progress'!M28)</f>
        <v/>
      </c>
      <c r="N28" s="23">
        <f>IF('Electrical Progress'!N28="","",'Electrical Progress'!N28)</f>
        <v/>
      </c>
      <c r="O28" s="23">
        <f>IF('Electrical Progress'!O28="","",'Electrical Progress'!O28)</f>
        <v/>
      </c>
      <c r="P28" s="23">
        <f>IF('Electrical Progress'!P28="","",'Electrical Progress'!P28)</f>
        <v/>
      </c>
      <c r="Q28" s="23">
        <f>IF('Electrical Progress'!Q28="","",'Electrical Progress'!Q28)</f>
        <v/>
      </c>
      <c r="R28" s="23">
        <f>IF('Electrical Progress'!R28="","",'Electrical Progress'!R28)</f>
        <v/>
      </c>
      <c r="S28" s="23">
        <f>IF('Electrical Progress'!S28="","",'Electrical Progress'!S28)</f>
        <v/>
      </c>
      <c r="T28" s="23">
        <f>IF('Electrical Progress'!T28="","",'Electrical Progress'!T28)</f>
        <v/>
      </c>
      <c r="U28" s="23">
        <f>IF('Electrical Progress'!U28="","",'Electrical Progress'!U28)</f>
        <v/>
      </c>
      <c r="V28" s="23">
        <f>IF('Electrical Progress'!V28="","",'Electrical Progress'!V28)</f>
        <v/>
      </c>
      <c r="W28" s="23">
        <f>IF('Electrical Progress'!W28="","",'Electrical Progress'!W28)</f>
        <v/>
      </c>
      <c r="X28" s="23">
        <f>IF('Electrical Progress'!X28="","",'Electrical Progress'!X28)</f>
        <v/>
      </c>
      <c r="Y28" s="23">
        <f>IF('Electrical Progress'!Y28="","",'Electrical Progress'!Y28)</f>
        <v/>
      </c>
      <c r="Z28" s="23">
        <f>IF('Electrical Progress'!Z28="","",'Electrical Progress'!Z28)</f>
        <v/>
      </c>
      <c r="AA28" s="23">
        <f>IF('Electrical Progress'!AA28="","",'Electrical Progress'!AA28)</f>
        <v/>
      </c>
      <c r="AB28" s="23">
        <f>IF('Electrical Progress'!AB28="","",'Electrical Progress'!AB28)</f>
        <v/>
      </c>
      <c r="AC28" s="23">
        <f>IF('Electrical Progress'!AC28="","",'Electrical Progress'!AC28)</f>
        <v/>
      </c>
      <c r="AD28" s="22" t="n"/>
    </row>
    <row r="29">
      <c r="A29" s="33" t="n"/>
      <c r="B29" s="37" t="inlineStr">
        <is>
          <t>Đấu nối</t>
        </is>
      </c>
      <c r="C29" s="34" t="inlineStr">
        <is>
          <t>điểm</t>
        </is>
      </c>
      <c r="D29" s="34" t="inlineStr">
        <is>
          <t>Khối lượng lũy kế</t>
        </is>
      </c>
      <c r="E29" s="21">
        <f>IF('Electrical Progress'!E29="","",'Electrical Progress'!E29)</f>
        <v/>
      </c>
      <c r="F29" s="21">
        <f>IF('Electrical Progress'!F29="","",'Electrical Progress'!F29)</f>
        <v/>
      </c>
      <c r="G29" s="21">
        <f>IF('Electrical Progress'!G29="","",'Electrical Progress'!G29)</f>
        <v/>
      </c>
      <c r="H29" s="21">
        <f>IF('Electrical Progress'!H29="","",'Electrical Progress'!H29)</f>
        <v/>
      </c>
      <c r="I29" s="21">
        <f>IF('Electrical Progress'!I29="","",'Electrical Progress'!I29)</f>
        <v/>
      </c>
      <c r="J29" s="21">
        <f>IF('Electrical Progress'!J29="","",'Electrical Progress'!J29)</f>
        <v/>
      </c>
      <c r="K29" s="21">
        <f>IF('Electrical Progress'!K29="","",'Electrical Progress'!K29)</f>
        <v/>
      </c>
      <c r="L29" s="21">
        <f>IF('Electrical Progress'!L29="","",'Electrical Progress'!L29)</f>
        <v/>
      </c>
      <c r="M29" s="21" t="n">
        <v>561</v>
      </c>
      <c r="N29" s="21">
        <f>IF('Electrical Progress'!N29="","",'Electrical Progress'!N29)</f>
        <v/>
      </c>
      <c r="O29" s="21">
        <f>IF('Electrical Progress'!O29="","",'Electrical Progress'!O29)</f>
        <v/>
      </c>
      <c r="P29" s="21">
        <f>IF('Electrical Progress'!P29="","",'Electrical Progress'!P29)</f>
        <v/>
      </c>
      <c r="Q29" s="21">
        <f>IF('Electrical Progress'!Q29="","",'Electrical Progress'!Q29)</f>
        <v/>
      </c>
      <c r="R29" s="21">
        <f>IF('Electrical Progress'!R29="","",'Electrical Progress'!R29)</f>
        <v/>
      </c>
      <c r="S29" s="21">
        <f>IF('Electrical Progress'!S29="","",'Electrical Progress'!S29)</f>
        <v/>
      </c>
      <c r="T29" s="21">
        <f>IF('Electrical Progress'!T29="","",'Electrical Progress'!T29)</f>
        <v/>
      </c>
      <c r="U29" s="21">
        <f>IF('Electrical Progress'!U29="","",'Electrical Progress'!U29)</f>
        <v/>
      </c>
      <c r="V29" s="21">
        <f>IF('Electrical Progress'!V29="","",'Electrical Progress'!V29)</f>
        <v/>
      </c>
      <c r="W29" s="21">
        <f>IF('Electrical Progress'!W29="","",'Electrical Progress'!W29)</f>
        <v/>
      </c>
      <c r="X29" s="21">
        <f>IF('Electrical Progress'!X29="","",'Electrical Progress'!X29)</f>
        <v/>
      </c>
      <c r="Y29" s="21">
        <f>IF('Electrical Progress'!Y29="","",'Electrical Progress'!Y29)</f>
        <v/>
      </c>
      <c r="Z29" s="21">
        <f>IF('Electrical Progress'!Z29="","",'Electrical Progress'!Z29)</f>
        <v/>
      </c>
      <c r="AA29" s="21">
        <f>IF('Electrical Progress'!AA29="","",'Electrical Progress'!AA29)</f>
        <v/>
      </c>
      <c r="AB29" s="21">
        <f>IF('Electrical Progress'!AB29="","",'Electrical Progress'!AB29)</f>
        <v/>
      </c>
      <c r="AC29" s="21">
        <f>IF('Electrical Progress'!AC29="","",'Electrical Progress'!AC29)</f>
        <v/>
      </c>
      <c r="AD29" s="22" t="n"/>
    </row>
    <row r="30">
      <c r="A30" s="29" t="n"/>
      <c r="B30" s="29" t="n"/>
      <c r="C30" s="29" t="n"/>
      <c r="D30" s="34" t="inlineStr">
        <is>
          <t>TỔNG DỰ ÁN - Đấu nối (%)</t>
        </is>
      </c>
      <c r="E30" s="23">
        <f>IF('Electrical Progress'!E30="","",'Electrical Progress'!E30)</f>
        <v/>
      </c>
      <c r="F30" s="23">
        <f>IF('Electrical Progress'!F30="","",'Electrical Progress'!F30)</f>
        <v/>
      </c>
      <c r="G30" s="23">
        <f>IF('Electrical Progress'!G30="","",'Electrical Progress'!G30)</f>
        <v/>
      </c>
      <c r="H30" s="23">
        <f>IF('Electrical Progress'!H30="","",'Electrical Progress'!H30)</f>
        <v/>
      </c>
      <c r="I30" s="23">
        <f>IF('Electrical Progress'!I30="","",'Electrical Progress'!I30)</f>
        <v/>
      </c>
      <c r="J30" s="23">
        <f>IF('Electrical Progress'!J30="","",'Electrical Progress'!J30)</f>
        <v/>
      </c>
      <c r="K30" s="23">
        <f>IF('Electrical Progress'!K30="","",'Electrical Progress'!K30)</f>
        <v/>
      </c>
      <c r="L30" s="23">
        <f>IF('Electrical Progress'!L30="","",'Electrical Progress'!L30)</f>
        <v/>
      </c>
      <c r="M30" s="23">
        <f>IF('Electrical Progress'!M30="","",'Electrical Progress'!M30)</f>
        <v/>
      </c>
      <c r="N30" s="23">
        <f>IF('Electrical Progress'!N30="","",'Electrical Progress'!N30)</f>
        <v/>
      </c>
      <c r="O30" s="23">
        <f>IF('Electrical Progress'!O30="","",'Electrical Progress'!O30)</f>
        <v/>
      </c>
      <c r="P30" s="23">
        <f>IF('Electrical Progress'!P30="","",'Electrical Progress'!P30)</f>
        <v/>
      </c>
      <c r="Q30" s="23">
        <f>IF('Electrical Progress'!Q30="","",'Electrical Progress'!Q30)</f>
        <v/>
      </c>
      <c r="R30" s="23">
        <f>IF('Electrical Progress'!R30="","",'Electrical Progress'!R30)</f>
        <v/>
      </c>
      <c r="S30" s="23">
        <f>IF('Electrical Progress'!S30="","",'Electrical Progress'!S30)</f>
        <v/>
      </c>
      <c r="T30" s="23">
        <f>IF('Electrical Progress'!T30="","",'Electrical Progress'!T30)</f>
        <v/>
      </c>
      <c r="U30" s="23">
        <f>IF('Electrical Progress'!U30="","",'Electrical Progress'!U30)</f>
        <v/>
      </c>
      <c r="V30" s="23">
        <f>IF('Electrical Progress'!V30="","",'Electrical Progress'!V30)</f>
        <v/>
      </c>
      <c r="W30" s="23">
        <f>IF('Electrical Progress'!W30="","",'Electrical Progress'!W30)</f>
        <v/>
      </c>
      <c r="X30" s="23">
        <f>IF('Electrical Progress'!X30="","",'Electrical Progress'!X30)</f>
        <v/>
      </c>
      <c r="Y30" s="23">
        <f>IF('Electrical Progress'!Y30="","",'Electrical Progress'!Y30)</f>
        <v/>
      </c>
      <c r="Z30" s="23">
        <f>IF('Electrical Progress'!Z30="","",'Electrical Progress'!Z30)</f>
        <v/>
      </c>
      <c r="AA30" s="23">
        <f>IF('Electrical Progress'!AA30="","",'Electrical Progress'!AA30)</f>
        <v/>
      </c>
      <c r="AB30" s="23">
        <f>IF('Electrical Progress'!AB30="","",'Electrical Progress'!AB30)</f>
        <v/>
      </c>
      <c r="AC30" s="23">
        <f>IF('Electrical Progress'!AC30="","",'Electrical Progress'!AC30)</f>
        <v/>
      </c>
      <c r="AD30" s="22" t="n"/>
    </row>
  </sheetData>
  <mergeCells count="35">
    <mergeCell ref="E5:E6"/>
    <mergeCell ref="B27:B28"/>
    <mergeCell ref="C29:C30"/>
    <mergeCell ref="B17:B18"/>
    <mergeCell ref="B11:B12"/>
    <mergeCell ref="B29:B30"/>
    <mergeCell ref="C9:C10"/>
    <mergeCell ref="B23:B24"/>
    <mergeCell ref="B13:B14"/>
    <mergeCell ref="A7:A12"/>
    <mergeCell ref="A25:A30"/>
    <mergeCell ref="C25:C26"/>
    <mergeCell ref="C21:C22"/>
    <mergeCell ref="C11:C12"/>
    <mergeCell ref="B19:B20"/>
    <mergeCell ref="B15:B16"/>
    <mergeCell ref="A1:AD2"/>
    <mergeCell ref="A5:A6"/>
    <mergeCell ref="B9:B10"/>
    <mergeCell ref="C23:C24"/>
    <mergeCell ref="C17:C18"/>
    <mergeCell ref="AD5:AD6"/>
    <mergeCell ref="C27:C28"/>
    <mergeCell ref="C7:C8"/>
    <mergeCell ref="B5:B6"/>
    <mergeCell ref="C13:C14"/>
    <mergeCell ref="D5:D6"/>
    <mergeCell ref="C19:C20"/>
    <mergeCell ref="A13:A18"/>
    <mergeCell ref="B7:B8"/>
    <mergeCell ref="B25:B26"/>
    <mergeCell ref="C15:C16"/>
    <mergeCell ref="A19:A24"/>
    <mergeCell ref="B21:B22"/>
    <mergeCell ref="C5:C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2026-10-03T06:42:04Z</dcterms:created>
  <dcterms:modified xmlns:dcterms="http://purl.org/dc/terms/" xmlns:xsi="http://www.w3.org/2001/XMLSchema-instance" xsi:type="dcterms:W3CDTF">2026-10-30T06:37:16Z</dcterms:modified>
  <cp:lastModifiedBy>Jay Duy</cp:lastModifiedBy>
</cp:coreProperties>
</file>